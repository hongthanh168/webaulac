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AuLac\Code\WebAuLac\App_Data\"/>
    </mc:Choice>
  </mc:AlternateContent>
  <bookViews>
    <workbookView xWindow="0" yWindow="0" windowWidth="23016" windowHeight="9924"/>
  </bookViews>
  <sheets>
    <sheet name="LuongVanPhong" sheetId="2" r:id="rId1"/>
    <sheet name="vcb" sheetId="12" state="hidden" r:id="rId2"/>
    <sheet name="Sheet1" sheetId="13" state="hidden" r:id="rId3"/>
    <sheet name="AFT" sheetId="15" state="hidden" r:id="rId4"/>
    <sheet name="ABL" sheetId="17" state="hidden" r:id="rId5"/>
  </sheets>
  <definedNames>
    <definedName name="_xlnm.Print_Titles" localSheetId="0">LuongVanPhong!$5:$7</definedName>
  </definedNames>
  <calcPr calcId="152511"/>
</workbook>
</file>

<file path=xl/calcChain.xml><?xml version="1.0" encoding="utf-8"?>
<calcChain xmlns="http://schemas.openxmlformats.org/spreadsheetml/2006/main">
  <c r="R26" i="17" l="1"/>
  <c r="R22" i="17"/>
  <c r="R21" i="17"/>
  <c r="R15" i="17"/>
  <c r="R12" i="17"/>
  <c r="R10" i="17"/>
  <c r="R32" i="17"/>
  <c r="R31" i="17"/>
  <c r="R30" i="17"/>
  <c r="R29" i="17"/>
  <c r="R28" i="17"/>
  <c r="R27" i="17"/>
  <c r="R25" i="17"/>
  <c r="R24" i="17"/>
  <c r="R23" i="17"/>
  <c r="R20" i="17"/>
  <c r="R19" i="17"/>
  <c r="R18" i="17"/>
  <c r="R17" i="17"/>
  <c r="R16" i="17"/>
  <c r="R14" i="17"/>
  <c r="R13" i="17"/>
  <c r="R11" i="17"/>
  <c r="R9" i="17"/>
  <c r="AI33" i="17" l="1"/>
  <c r="AG33" i="17"/>
  <c r="AF33" i="17"/>
  <c r="AE33" i="17"/>
  <c r="AC33" i="17"/>
  <c r="P33" i="17"/>
  <c r="O33" i="17"/>
  <c r="N33" i="17"/>
  <c r="M33" i="17"/>
  <c r="L33" i="17"/>
  <c r="AD32" i="17"/>
  <c r="AA32" i="17"/>
  <c r="Z32" i="17"/>
  <c r="Y32" i="17"/>
  <c r="X32" i="17"/>
  <c r="AD31" i="17"/>
  <c r="AA31" i="17"/>
  <c r="Z31" i="17"/>
  <c r="Y31" i="17"/>
  <c r="X31" i="17"/>
  <c r="AD30" i="17"/>
  <c r="AA30" i="17"/>
  <c r="Z30" i="17"/>
  <c r="Y30" i="17"/>
  <c r="X30" i="17"/>
  <c r="AD29" i="17"/>
  <c r="AA29" i="17"/>
  <c r="Z29" i="17"/>
  <c r="Y29" i="17"/>
  <c r="X29" i="17"/>
  <c r="AD28" i="17"/>
  <c r="AA28" i="17"/>
  <c r="Z28" i="17"/>
  <c r="Y28" i="17"/>
  <c r="X28" i="17"/>
  <c r="AD27" i="17"/>
  <c r="AA27" i="17"/>
  <c r="Z27" i="17"/>
  <c r="Y27" i="17"/>
  <c r="X27" i="17"/>
  <c r="AD26" i="17"/>
  <c r="AA26" i="17"/>
  <c r="Z26" i="17"/>
  <c r="Y26" i="17"/>
  <c r="X26" i="17"/>
  <c r="AD25" i="17"/>
  <c r="I25" i="17"/>
  <c r="Z25" i="17" s="1"/>
  <c r="AD24" i="17"/>
  <c r="AA24" i="17"/>
  <c r="Z24" i="17"/>
  <c r="Y24" i="17"/>
  <c r="X24" i="17"/>
  <c r="AD23" i="17"/>
  <c r="AA23" i="17"/>
  <c r="Z23" i="17"/>
  <c r="Y23" i="17"/>
  <c r="X23" i="17"/>
  <c r="AD22" i="17"/>
  <c r="I22" i="17"/>
  <c r="Z22" i="17" s="1"/>
  <c r="AD21" i="17"/>
  <c r="I21" i="17"/>
  <c r="Z21" i="17" s="1"/>
  <c r="AD20" i="17"/>
  <c r="AA20" i="17"/>
  <c r="Z20" i="17"/>
  <c r="Y20" i="17"/>
  <c r="X20" i="17"/>
  <c r="AD19" i="17"/>
  <c r="AA19" i="17"/>
  <c r="Z19" i="17"/>
  <c r="Y19" i="17"/>
  <c r="X19" i="17"/>
  <c r="AD18" i="17"/>
  <c r="AA18" i="17"/>
  <c r="Z18" i="17"/>
  <c r="Y18" i="17"/>
  <c r="X18" i="17"/>
  <c r="AD17" i="17"/>
  <c r="I17" i="17"/>
  <c r="Y17" i="17" s="1"/>
  <c r="AD16" i="17"/>
  <c r="I16" i="17"/>
  <c r="Y16" i="17" s="1"/>
  <c r="AD15" i="17"/>
  <c r="I15" i="17"/>
  <c r="Y15" i="17" s="1"/>
  <c r="AD14" i="17"/>
  <c r="I14" i="17"/>
  <c r="Y14" i="17" s="1"/>
  <c r="AD13" i="17"/>
  <c r="I13" i="17"/>
  <c r="Y13" i="17" s="1"/>
  <c r="AD12" i="17"/>
  <c r="I12" i="17"/>
  <c r="Y12" i="17" s="1"/>
  <c r="AD11" i="17"/>
  <c r="I11" i="17"/>
  <c r="Y11" i="17" s="1"/>
  <c r="AD10" i="17"/>
  <c r="I10" i="17"/>
  <c r="Y10" i="17" s="1"/>
  <c r="AD9" i="17"/>
  <c r="I9" i="17"/>
  <c r="AA9" i="17" s="1"/>
  <c r="R17" i="15"/>
  <c r="R14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6" i="15"/>
  <c r="R15" i="15"/>
  <c r="R13" i="15"/>
  <c r="R12" i="15"/>
  <c r="R11" i="15"/>
  <c r="R10" i="15"/>
  <c r="R9" i="15"/>
  <c r="R8" i="15"/>
  <c r="R37" i="15" s="1"/>
  <c r="X11" i="17" l="1"/>
  <c r="AA11" i="17"/>
  <c r="X12" i="17"/>
  <c r="Y21" i="17"/>
  <c r="X22" i="17"/>
  <c r="Y22" i="17"/>
  <c r="I33" i="17"/>
  <c r="AD33" i="17"/>
  <c r="AA10" i="17"/>
  <c r="AH20" i="17"/>
  <c r="X21" i="17"/>
  <c r="AA22" i="17"/>
  <c r="Y25" i="17"/>
  <c r="AH27" i="17"/>
  <c r="AH31" i="17"/>
  <c r="X10" i="17"/>
  <c r="X9" i="17"/>
  <c r="AA12" i="17"/>
  <c r="X13" i="17"/>
  <c r="X14" i="17"/>
  <c r="X15" i="17"/>
  <c r="X16" i="17"/>
  <c r="X17" i="17"/>
  <c r="AH18" i="17"/>
  <c r="AH19" i="17"/>
  <c r="AA21" i="17"/>
  <c r="AH24" i="17"/>
  <c r="AH26" i="17"/>
  <c r="AH28" i="17"/>
  <c r="AH29" i="17"/>
  <c r="AH30" i="17"/>
  <c r="AH32" i="17"/>
  <c r="AH23" i="17"/>
  <c r="AH22" i="17"/>
  <c r="AA13" i="17"/>
  <c r="AA14" i="17"/>
  <c r="AA15" i="17"/>
  <c r="AA16" i="17"/>
  <c r="AA17" i="17"/>
  <c r="X25" i="17"/>
  <c r="R33" i="17"/>
  <c r="Z9" i="17"/>
  <c r="Z10" i="17"/>
  <c r="Z11" i="17"/>
  <c r="Z12" i="17"/>
  <c r="Z13" i="17"/>
  <c r="Z14" i="17"/>
  <c r="Z15" i="17"/>
  <c r="Z16" i="17"/>
  <c r="Z17" i="17"/>
  <c r="AA25" i="17"/>
  <c r="Y9" i="17"/>
  <c r="AI37" i="15"/>
  <c r="AG37" i="15"/>
  <c r="AF37" i="15"/>
  <c r="AE37" i="15"/>
  <c r="AC37" i="15"/>
  <c r="AB37" i="15"/>
  <c r="W37" i="15"/>
  <c r="V37" i="15"/>
  <c r="U37" i="15"/>
  <c r="T37" i="15"/>
  <c r="S37" i="15"/>
  <c r="P37" i="15"/>
  <c r="O37" i="15"/>
  <c r="N37" i="15"/>
  <c r="M37" i="15"/>
  <c r="L37" i="15"/>
  <c r="AH34" i="15"/>
  <c r="AD34" i="15"/>
  <c r="AD32" i="15"/>
  <c r="AD31" i="15"/>
  <c r="AA31" i="15"/>
  <c r="Z31" i="15"/>
  <c r="Y31" i="15"/>
  <c r="X31" i="15"/>
  <c r="AD30" i="15"/>
  <c r="AA30" i="15"/>
  <c r="Z30" i="15"/>
  <c r="Y30" i="15"/>
  <c r="X30" i="15"/>
  <c r="AD29" i="15"/>
  <c r="AA29" i="15"/>
  <c r="Z29" i="15"/>
  <c r="Y29" i="15"/>
  <c r="X29" i="15"/>
  <c r="AD28" i="15"/>
  <c r="AA28" i="15"/>
  <c r="Z28" i="15"/>
  <c r="Y28" i="15"/>
  <c r="X28" i="15"/>
  <c r="AH28" i="15" s="1"/>
  <c r="AD27" i="15"/>
  <c r="AA27" i="15"/>
  <c r="Z27" i="15"/>
  <c r="Y27" i="15"/>
  <c r="X27" i="15"/>
  <c r="AD26" i="15"/>
  <c r="AA26" i="15"/>
  <c r="Z26" i="15"/>
  <c r="Y26" i="15"/>
  <c r="X26" i="15"/>
  <c r="AD25" i="15"/>
  <c r="I25" i="15"/>
  <c r="Y25" i="15" s="1"/>
  <c r="AD24" i="15"/>
  <c r="AA24" i="15"/>
  <c r="I24" i="15"/>
  <c r="Y24" i="15" s="1"/>
  <c r="AD23" i="15"/>
  <c r="AA23" i="15"/>
  <c r="AH23" i="15" s="1"/>
  <c r="Z23" i="15"/>
  <c r="Y23" i="15"/>
  <c r="X23" i="15"/>
  <c r="AD22" i="15"/>
  <c r="AA22" i="15"/>
  <c r="Z22" i="15"/>
  <c r="Y22" i="15"/>
  <c r="X22" i="15"/>
  <c r="AD21" i="15"/>
  <c r="AA21" i="15"/>
  <c r="Z21" i="15"/>
  <c r="Y21" i="15"/>
  <c r="X21" i="15"/>
  <c r="AD20" i="15"/>
  <c r="AA20" i="15"/>
  <c r="Z20" i="15"/>
  <c r="Y20" i="15"/>
  <c r="X20" i="15"/>
  <c r="AD19" i="15"/>
  <c r="AA19" i="15"/>
  <c r="Z19" i="15"/>
  <c r="Y19" i="15"/>
  <c r="X19" i="15"/>
  <c r="AD18" i="15"/>
  <c r="AA18" i="15"/>
  <c r="Z18" i="15"/>
  <c r="Y18" i="15"/>
  <c r="X18" i="15"/>
  <c r="AD17" i="15"/>
  <c r="I17" i="15"/>
  <c r="Z17" i="15" s="1"/>
  <c r="AD16" i="15"/>
  <c r="I16" i="15"/>
  <c r="Z16" i="15" s="1"/>
  <c r="AD15" i="15"/>
  <c r="I15" i="15"/>
  <c r="Z15" i="15" s="1"/>
  <c r="AD14" i="15"/>
  <c r="I14" i="15"/>
  <c r="Z14" i="15" s="1"/>
  <c r="AD13" i="15"/>
  <c r="I13" i="15"/>
  <c r="AA13" i="15" s="1"/>
  <c r="AD12" i="15"/>
  <c r="I12" i="15"/>
  <c r="AA12" i="15" s="1"/>
  <c r="AD11" i="15"/>
  <c r="I11" i="15"/>
  <c r="AA11" i="15" s="1"/>
  <c r="AD10" i="15"/>
  <c r="I10" i="15"/>
  <c r="AA10" i="15" s="1"/>
  <c r="AD9" i="15"/>
  <c r="I9" i="15"/>
  <c r="AA9" i="15" s="1"/>
  <c r="AD8" i="15"/>
  <c r="I8" i="15"/>
  <c r="AA8" i="15" s="1"/>
  <c r="AH20" i="15" l="1"/>
  <c r="AA25" i="15"/>
  <c r="AH27" i="15"/>
  <c r="AH22" i="15"/>
  <c r="AH29" i="15"/>
  <c r="AH19" i="15"/>
  <c r="AH30" i="15"/>
  <c r="AD37" i="15"/>
  <c r="X24" i="15"/>
  <c r="X25" i="15"/>
  <c r="Y16" i="15"/>
  <c r="Y17" i="15"/>
  <c r="AH26" i="15"/>
  <c r="AH31" i="15"/>
  <c r="Y15" i="15"/>
  <c r="AH21" i="15"/>
  <c r="X15" i="15"/>
  <c r="X16" i="15"/>
  <c r="X17" i="15"/>
  <c r="AH18" i="15"/>
  <c r="Y33" i="17"/>
  <c r="AH11" i="17"/>
  <c r="AH10" i="17"/>
  <c r="AH15" i="17"/>
  <c r="AH12" i="17"/>
  <c r="AH14" i="17"/>
  <c r="AH21" i="17"/>
  <c r="AH17" i="17"/>
  <c r="AH13" i="17"/>
  <c r="AA33" i="17"/>
  <c r="AH16" i="17"/>
  <c r="Z33" i="17"/>
  <c r="AH9" i="17"/>
  <c r="AH25" i="17"/>
  <c r="X33" i="17"/>
  <c r="Z8" i="15"/>
  <c r="Z11" i="15"/>
  <c r="Z12" i="15"/>
  <c r="Z13" i="15"/>
  <c r="Y10" i="15"/>
  <c r="Y11" i="15"/>
  <c r="Y12" i="15"/>
  <c r="Y13" i="15"/>
  <c r="Y14" i="15"/>
  <c r="I37" i="15"/>
  <c r="X8" i="15"/>
  <c r="X10" i="15"/>
  <c r="X12" i="15"/>
  <c r="Z24" i="15"/>
  <c r="AH24" i="15" s="1"/>
  <c r="Z25" i="15"/>
  <c r="AH25" i="15" s="1"/>
  <c r="Z9" i="15"/>
  <c r="Z10" i="15"/>
  <c r="Y8" i="15"/>
  <c r="Y9" i="15"/>
  <c r="X9" i="15"/>
  <c r="X11" i="15"/>
  <c r="X13" i="15"/>
  <c r="AH13" i="15" s="1"/>
  <c r="X14" i="15"/>
  <c r="AH14" i="15" s="1"/>
  <c r="AA14" i="15"/>
  <c r="AA15" i="15"/>
  <c r="AA16" i="15"/>
  <c r="AH16" i="15" s="1"/>
  <c r="AA17" i="15"/>
  <c r="AH17" i="15" s="1"/>
  <c r="Y37" i="15" l="1"/>
  <c r="AH15" i="15"/>
  <c r="AA37" i="15"/>
  <c r="AH11" i="15"/>
  <c r="AH12" i="15"/>
  <c r="AH33" i="17"/>
  <c r="X37" i="15"/>
  <c r="AH8" i="15"/>
  <c r="AH9" i="15"/>
  <c r="AH10" i="15"/>
  <c r="Z37" i="15"/>
  <c r="AH37" i="15" l="1"/>
</calcChain>
</file>

<file path=xl/comments1.xml><?xml version="1.0" encoding="utf-8"?>
<comments xmlns="http://schemas.openxmlformats.org/spreadsheetml/2006/main">
  <authors>
    <author>HUUTHE</author>
  </authors>
  <commentList>
    <comment ref="C33" authorId="0" shapeId="0">
      <text>
        <r>
          <rPr>
            <b/>
            <sz val="8"/>
            <color indexed="81"/>
            <rFont val="Tahoma"/>
            <family val="2"/>
          </rPr>
          <t>HUUTHE:</t>
        </r>
        <r>
          <rPr>
            <sz val="8"/>
            <color indexed="81"/>
            <rFont val="Tahoma"/>
            <family val="2"/>
          </rPr>
          <t xml:space="preserve">
update t5/2012</t>
        </r>
      </text>
    </comment>
  </commentList>
</comments>
</file>

<file path=xl/sharedStrings.xml><?xml version="1.0" encoding="utf-8"?>
<sst xmlns="http://schemas.openxmlformats.org/spreadsheetml/2006/main" count="3296" uniqueCount="2196">
  <si>
    <t>Công</t>
  </si>
  <si>
    <t>Ngô Văn</t>
  </si>
  <si>
    <t>Bùi Xuân</t>
  </si>
  <si>
    <t>Thảo</t>
  </si>
  <si>
    <t>Thế</t>
  </si>
  <si>
    <t>thuộc</t>
  </si>
  <si>
    <t>Lợi</t>
  </si>
  <si>
    <t xml:space="preserve">CHỨC VỤ </t>
  </si>
  <si>
    <t>Người phụ</t>
  </si>
  <si>
    <t>CĐ 
PHÍ</t>
  </si>
  <si>
    <t xml:space="preserve">Đinh Hữu </t>
  </si>
  <si>
    <t xml:space="preserve">Bùi Thị Thu </t>
  </si>
  <si>
    <t>PHỤ CẤP
TRÁCH
NHIỆM</t>
  </si>
  <si>
    <t xml:space="preserve">CÁC KHOẢN KHẤU TRỪ </t>
  </si>
  <si>
    <t>BẢNG LƯƠNG NHÂN VIÊN VĂN PHÒNG</t>
  </si>
  <si>
    <t>KÝ 
NHẬN</t>
  </si>
  <si>
    <t>STT</t>
  </si>
  <si>
    <t>BHXH</t>
  </si>
  <si>
    <t>BHYT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</si>
  <si>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</si>
  <si>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</si>
  <si>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</si>
  <si>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</si>
  <si>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</si>
  <si>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</si>
  <si>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</si>
  <si>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</si>
  <si>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</si>
  <si>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</si>
  <si>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13</t>
  </si>
  <si>
    <t>11</t>
  </si>
  <si>
    <t>14</t>
  </si>
  <si>
    <t>12</t>
  </si>
  <si>
    <t>16</t>
  </si>
  <si>
    <t>17</t>
  </si>
  <si>
    <t>15</t>
  </si>
  <si>
    <t>20</t>
  </si>
  <si>
    <t>21</t>
  </si>
  <si>
    <t>18</t>
  </si>
  <si>
    <t>23</t>
  </si>
  <si>
    <t>19</t>
  </si>
  <si>
    <t>24</t>
  </si>
  <si>
    <t>Linh</t>
  </si>
  <si>
    <t>22</t>
  </si>
  <si>
    <t>Giang</t>
  </si>
  <si>
    <t>Nam</t>
  </si>
  <si>
    <t>Bình</t>
  </si>
  <si>
    <t xml:space="preserve">S
T
T </t>
  </si>
  <si>
    <t>Lan</t>
  </si>
  <si>
    <t>Phong</t>
  </si>
  <si>
    <t>Nguyễn Hữu</t>
  </si>
  <si>
    <t>Trung</t>
  </si>
  <si>
    <t>Khoa</t>
  </si>
  <si>
    <t>CMND</t>
  </si>
  <si>
    <t>Cường</t>
  </si>
  <si>
    <t>Thanh</t>
  </si>
  <si>
    <t>BHTN</t>
  </si>
  <si>
    <t xml:space="preserve">Huy </t>
  </si>
  <si>
    <t>TP2</t>
  </si>
  <si>
    <t xml:space="preserve">Đinh Văn </t>
  </si>
  <si>
    <t>Thể</t>
  </si>
  <si>
    <t>Thắng</t>
  </si>
  <si>
    <t>Nguyễn Văn</t>
  </si>
  <si>
    <t>Hà</t>
  </si>
  <si>
    <t>tinh thue</t>
  </si>
  <si>
    <t>Hải</t>
  </si>
  <si>
    <t>Phạm Văn</t>
  </si>
  <si>
    <t>Thắng</t>
  </si>
  <si>
    <t>Tuấn</t>
  </si>
  <si>
    <t>Mai Huyền</t>
  </si>
  <si>
    <t>Nguyễn Văn</t>
  </si>
  <si>
    <t>Nguyễn Viết</t>
  </si>
  <si>
    <t>Việt</t>
  </si>
  <si>
    <t>Ngọc</t>
  </si>
  <si>
    <t>Hồng</t>
  </si>
  <si>
    <t>Số TK thẻ</t>
  </si>
  <si>
    <t>Phạm Quốc</t>
  </si>
  <si>
    <t>Thống</t>
  </si>
  <si>
    <t>Thợ cả</t>
  </si>
  <si>
    <t>Thủy</t>
  </si>
  <si>
    <t xml:space="preserve">Thủy thủ </t>
  </si>
  <si>
    <t>phụ thuộc</t>
  </si>
  <si>
    <t xml:space="preserve">Giảm trừ </t>
  </si>
  <si>
    <t>Giảm trừ</t>
  </si>
  <si>
    <t xml:space="preserve">Nguyễn Hữu </t>
  </si>
  <si>
    <t>Dự trữ</t>
  </si>
  <si>
    <t>THUẾ 
T.NHẬP</t>
  </si>
  <si>
    <t>CỘNG</t>
  </si>
  <si>
    <t>CHỨC VỤ</t>
  </si>
  <si>
    <t>Nghĩa</t>
  </si>
  <si>
    <t>Thợ bơm</t>
  </si>
  <si>
    <t xml:space="preserve">Người </t>
  </si>
  <si>
    <t>Hưng</t>
  </si>
  <si>
    <t>Dương Văn</t>
  </si>
  <si>
    <t xml:space="preserve">TT.Trưởng </t>
  </si>
  <si>
    <t>Vượng</t>
  </si>
  <si>
    <t>Cấp dưỡng</t>
  </si>
  <si>
    <t>CĐ</t>
  </si>
  <si>
    <t>Đặng Nhất</t>
  </si>
  <si>
    <t xml:space="preserve">Đinh Hữu Thế </t>
  </si>
  <si>
    <t>NGƯỜI LẬP BẢNG</t>
  </si>
  <si>
    <t>Đoàn Ngọc</t>
  </si>
  <si>
    <t>Hoàn</t>
  </si>
  <si>
    <t>Nguyễn Hoàng</t>
  </si>
  <si>
    <t>khác</t>
  </si>
  <si>
    <t>Máy 3</t>
  </si>
  <si>
    <t>Máy 4</t>
  </si>
  <si>
    <t>Thợ máy</t>
  </si>
  <si>
    <t>cá nhân</t>
  </si>
  <si>
    <t>Nhân</t>
  </si>
  <si>
    <t>Lê Văn</t>
  </si>
  <si>
    <t xml:space="preserve">Lê Văn </t>
  </si>
  <si>
    <t>Hòa</t>
  </si>
  <si>
    <t>Ghi chú</t>
  </si>
  <si>
    <t>PH. CẤP 
TRÁCH 
NHIỆM</t>
  </si>
  <si>
    <t>KẾ TOÁN TRƯỞNG</t>
  </si>
  <si>
    <t>HỌ &amp; TÊN</t>
  </si>
  <si>
    <t>CÒN LẠI</t>
  </si>
  <si>
    <t>CÔNG TY CỔ PHẦN ÂU LẠC</t>
  </si>
  <si>
    <t>KÝ NHẬN</t>
  </si>
  <si>
    <t xml:space="preserve">Trần Đình </t>
  </si>
  <si>
    <t xml:space="preserve">Trần Văn </t>
  </si>
  <si>
    <t>Thiều</t>
  </si>
  <si>
    <t>Hiến</t>
  </si>
  <si>
    <t>Hiệp</t>
  </si>
  <si>
    <t>Nguyễn Ngọc</t>
  </si>
  <si>
    <t xml:space="preserve">Hồ Việt </t>
  </si>
  <si>
    <t>Lộc</t>
  </si>
  <si>
    <t>Thợ điện</t>
  </si>
  <si>
    <t>Nguyễn Đức</t>
  </si>
  <si>
    <t>Tân</t>
  </si>
  <si>
    <t>Võ Duy</t>
  </si>
  <si>
    <t>PH. CẤP
TRÁCH 
NHIỆM</t>
  </si>
  <si>
    <t xml:space="preserve">             CÔNG TY CỔ PHẦN ÂU LẠC</t>
  </si>
  <si>
    <t>GHI CHÚ</t>
  </si>
  <si>
    <t xml:space="preserve">Phạm Thanh </t>
  </si>
  <si>
    <t xml:space="preserve">Phạm Văn </t>
  </si>
  <si>
    <t>Trần Mạnh</t>
  </si>
  <si>
    <t>Trần Văn</t>
  </si>
  <si>
    <t>Nguyễn Minh</t>
  </si>
  <si>
    <t>Tự</t>
  </si>
  <si>
    <t>Sơn</t>
  </si>
  <si>
    <t>Dương</t>
  </si>
  <si>
    <t>Cường</t>
  </si>
  <si>
    <t>Đỗ Thanh</t>
  </si>
  <si>
    <t>Thành</t>
  </si>
  <si>
    <t>Huỳnh Xuân</t>
  </si>
  <si>
    <t>Tâm</t>
  </si>
  <si>
    <t>Vân</t>
  </si>
  <si>
    <t xml:space="preserve">Lê Hữu </t>
  </si>
  <si>
    <t>Lê Thanh</t>
  </si>
  <si>
    <t>Đỗ Nguyên</t>
  </si>
  <si>
    <t>Hùng</t>
  </si>
  <si>
    <t xml:space="preserve">Nguyễn Hùng </t>
  </si>
  <si>
    <t>Phạm Trung</t>
  </si>
  <si>
    <t>Thiện</t>
  </si>
  <si>
    <t xml:space="preserve">Hồ Nam </t>
  </si>
  <si>
    <t>Dũng</t>
  </si>
  <si>
    <t>Nguyễn Hữu</t>
  </si>
  <si>
    <t>Thịnh</t>
  </si>
  <si>
    <t>Trương Văn</t>
  </si>
  <si>
    <t>Phương</t>
  </si>
  <si>
    <t>Điền</t>
  </si>
  <si>
    <t>Đạt</t>
  </si>
  <si>
    <t>Đỗ Kim</t>
  </si>
  <si>
    <t>Hoàng Thanh</t>
  </si>
  <si>
    <t>Đinh Xuân</t>
  </si>
  <si>
    <t>Lâm</t>
  </si>
  <si>
    <t>Võ Đức</t>
  </si>
  <si>
    <t>Chiến</t>
  </si>
  <si>
    <t>Lý Khởi</t>
  </si>
  <si>
    <t>Trí</t>
  </si>
  <si>
    <t xml:space="preserve">Máy Trưởng </t>
  </si>
  <si>
    <t>Trần Giải</t>
  </si>
  <si>
    <t>Phóng</t>
  </si>
  <si>
    <t>Trường</t>
  </si>
  <si>
    <t>Đặng Văn</t>
  </si>
  <si>
    <t>Quân</t>
  </si>
  <si>
    <t>Phạm Văn</t>
  </si>
  <si>
    <t>Trần Hùng</t>
  </si>
  <si>
    <t xml:space="preserve">Phạm Hoài </t>
  </si>
  <si>
    <t>Dũng</t>
  </si>
  <si>
    <t>Khánh</t>
  </si>
  <si>
    <t>Lại Thanh</t>
  </si>
  <si>
    <t>Nguyễn Tiến</t>
  </si>
  <si>
    <t>Cao Văn</t>
  </si>
  <si>
    <t>Phùng Nguyễn</t>
  </si>
  <si>
    <t xml:space="preserve">TP3 </t>
  </si>
  <si>
    <t>TGĐ DUYỆT CHI</t>
  </si>
  <si>
    <t>0101032441</t>
  </si>
  <si>
    <t>023184325</t>
  </si>
  <si>
    <t>0101060711</t>
  </si>
  <si>
    <t>024625992</t>
  </si>
  <si>
    <t>0101633500</t>
  </si>
  <si>
    <t>025089830</t>
  </si>
  <si>
    <t>0102750547</t>
  </si>
  <si>
    <t>024705329</t>
  </si>
  <si>
    <t>0101122222</t>
  </si>
  <si>
    <t>023770082</t>
  </si>
  <si>
    <t>0102346383</t>
  </si>
  <si>
    <t>024146418</t>
  </si>
  <si>
    <t>0101089406</t>
  </si>
  <si>
    <t>023917005</t>
  </si>
  <si>
    <t>0101027863</t>
  </si>
  <si>
    <t>023665363</t>
  </si>
  <si>
    <t>0101026719</t>
  </si>
  <si>
    <t>300962178</t>
  </si>
  <si>
    <t>0101032362</t>
  </si>
  <si>
    <t>023148608</t>
  </si>
  <si>
    <t>0101026727</t>
  </si>
  <si>
    <t>023133945</t>
  </si>
  <si>
    <t>0101032416</t>
  </si>
  <si>
    <t>0103356119</t>
  </si>
  <si>
    <t>0101318878</t>
  </si>
  <si>
    <t>023442390</t>
  </si>
  <si>
    <t>0101253513</t>
  </si>
  <si>
    <t>023457315</t>
  </si>
  <si>
    <t>0101038619</t>
  </si>
  <si>
    <t>022240785</t>
  </si>
  <si>
    <t>0101032507</t>
  </si>
  <si>
    <t>020081814</t>
  </si>
  <si>
    <t>0101032511</t>
  </si>
  <si>
    <t>022775966</t>
  </si>
  <si>
    <t>0101372916</t>
  </si>
  <si>
    <t>0101032425</t>
  </si>
  <si>
    <t>024920051</t>
  </si>
  <si>
    <t>0101032424</t>
  </si>
  <si>
    <t>021560100</t>
  </si>
  <si>
    <t>0103295593</t>
  </si>
  <si>
    <t>023450008</t>
  </si>
  <si>
    <t>0102040406</t>
  </si>
  <si>
    <t>023770580</t>
  </si>
  <si>
    <t>0102192933</t>
  </si>
  <si>
    <t>0101168360</t>
  </si>
  <si>
    <t>022797849</t>
  </si>
  <si>
    <t>0101074969</t>
  </si>
  <si>
    <t>022702414</t>
  </si>
  <si>
    <t>0101460165</t>
  </si>
  <si>
    <t>023721059</t>
  </si>
  <si>
    <t>0104870720</t>
  </si>
  <si>
    <t>021284194</t>
  </si>
  <si>
    <t>0105121803</t>
  </si>
  <si>
    <t>031417950</t>
  </si>
  <si>
    <t>0101231558</t>
  </si>
  <si>
    <t>0104004186</t>
  </si>
  <si>
    <t>164129270</t>
  </si>
  <si>
    <t>0101591416</t>
  </si>
  <si>
    <t>025077687</t>
  </si>
  <si>
    <t>0102216094</t>
  </si>
  <si>
    <t>0102852880</t>
  </si>
  <si>
    <t>0102661356</t>
  </si>
  <si>
    <t>145138873</t>
  </si>
  <si>
    <t>0103686333</t>
  </si>
  <si>
    <t>186149154</t>
  </si>
  <si>
    <t>0101032361</t>
  </si>
  <si>
    <t>023515285</t>
  </si>
  <si>
    <t>0108127097</t>
  </si>
  <si>
    <t>301196796</t>
  </si>
  <si>
    <t>0101286430</t>
  </si>
  <si>
    <t>0106901348</t>
  </si>
  <si>
    <t>0103799617</t>
  </si>
  <si>
    <t>024788315</t>
  </si>
  <si>
    <t>0104881930</t>
  </si>
  <si>
    <t>023217701</t>
  </si>
  <si>
    <t>0103262412</t>
  </si>
  <si>
    <t>022112696</t>
  </si>
  <si>
    <t>0102565861</t>
  </si>
  <si>
    <t>321217918</t>
  </si>
  <si>
    <t>0101270655</t>
  </si>
  <si>
    <t>161900123</t>
  </si>
  <si>
    <t>0102860005</t>
  </si>
  <si>
    <t>194334491</t>
  </si>
  <si>
    <t>0101593140</t>
  </si>
  <si>
    <t>030969270</t>
  </si>
  <si>
    <t>0103265510</t>
  </si>
  <si>
    <t>031032463</t>
  </si>
  <si>
    <t>0104846518</t>
  </si>
  <si>
    <t>221002237</t>
  </si>
  <si>
    <t>0101032407</t>
  </si>
  <si>
    <t>021038006</t>
  </si>
  <si>
    <t>0101032456</t>
  </si>
  <si>
    <t>0102697028</t>
  </si>
  <si>
    <t>0102852879</t>
  </si>
  <si>
    <t>024541654</t>
  </si>
  <si>
    <t>0101898428</t>
  </si>
  <si>
    <t>023676419</t>
  </si>
  <si>
    <t>151383502</t>
  </si>
  <si>
    <t>0105162700</t>
  </si>
  <si>
    <t>030979542</t>
  </si>
  <si>
    <t>0104893980</t>
  </si>
  <si>
    <t>011809400</t>
  </si>
  <si>
    <t>0102968167</t>
  </si>
  <si>
    <t>182533501</t>
  </si>
  <si>
    <t>0101400988</t>
  </si>
  <si>
    <t>022365739</t>
  </si>
  <si>
    <t>0103898096</t>
  </si>
  <si>
    <t>186115705</t>
  </si>
  <si>
    <t>0101032423</t>
  </si>
  <si>
    <t>111413344</t>
  </si>
  <si>
    <t>0101032356</t>
  </si>
  <si>
    <t>021040280</t>
  </si>
  <si>
    <t>0101032414</t>
  </si>
  <si>
    <t>023645092</t>
  </si>
  <si>
    <t>0101386518</t>
  </si>
  <si>
    <t>0104463373</t>
  </si>
  <si>
    <t>290602891</t>
  </si>
  <si>
    <t>0101089263</t>
  </si>
  <si>
    <t>341281441</t>
  </si>
  <si>
    <t>0103284064</t>
  </si>
  <si>
    <t>024143708</t>
  </si>
  <si>
    <t>0102670784</t>
  </si>
  <si>
    <t>210971669</t>
  </si>
  <si>
    <t>0101032372</t>
  </si>
  <si>
    <t>023321305</t>
  </si>
  <si>
    <t>0102704279</t>
  </si>
  <si>
    <t>273007354</t>
  </si>
  <si>
    <t>0101706359</t>
  </si>
  <si>
    <t>020814280</t>
  </si>
  <si>
    <t>0101898458</t>
  </si>
  <si>
    <t>351395889</t>
  </si>
  <si>
    <t>0103487754</t>
  </si>
  <si>
    <t>023381715</t>
  </si>
  <si>
    <t>0102838188</t>
  </si>
  <si>
    <t>264059101</t>
  </si>
  <si>
    <t>0102732865</t>
  </si>
  <si>
    <t>151367838</t>
  </si>
  <si>
    <t>0101032432</t>
  </si>
  <si>
    <t>020357573</t>
  </si>
  <si>
    <t>0102507637</t>
  </si>
  <si>
    <t>022760993</t>
  </si>
  <si>
    <t>0102029846</t>
  </si>
  <si>
    <t>031329852</t>
  </si>
  <si>
    <t>0103841268</t>
  </si>
  <si>
    <t>212189492</t>
  </si>
  <si>
    <t>0103368648</t>
  </si>
  <si>
    <t>024243485</t>
  </si>
  <si>
    <t>0101661749</t>
  </si>
  <si>
    <t>320895547</t>
  </si>
  <si>
    <t>0101898443</t>
  </si>
  <si>
    <t>220675303</t>
  </si>
  <si>
    <t>0102431595</t>
  </si>
  <si>
    <t>024797213</t>
  </si>
  <si>
    <t>0102210107</t>
  </si>
  <si>
    <t>031541214</t>
  </si>
  <si>
    <t>0102718064</t>
  </si>
  <si>
    <t>023775421</t>
  </si>
  <si>
    <t>0101325986</t>
  </si>
  <si>
    <t>225161455</t>
  </si>
  <si>
    <t>0102627171</t>
  </si>
  <si>
    <t>301001933</t>
  </si>
  <si>
    <t>0102802264</t>
  </si>
  <si>
    <t>0101420448</t>
  </si>
  <si>
    <t>024460712</t>
  </si>
  <si>
    <t>0101032375</t>
  </si>
  <si>
    <t>0102207251</t>
  </si>
  <si>
    <t>0102181005</t>
  </si>
  <si>
    <t>030961501</t>
  </si>
  <si>
    <t>024631878</t>
  </si>
  <si>
    <t>0101338463</t>
  </si>
  <si>
    <t>162259470</t>
  </si>
  <si>
    <t>0102676876</t>
  </si>
  <si>
    <t>031350704</t>
  </si>
  <si>
    <t>0101032391</t>
  </si>
  <si>
    <t>021607093</t>
  </si>
  <si>
    <t>030964901</t>
  </si>
  <si>
    <t>220908284</t>
  </si>
  <si>
    <t>0102227908</t>
  </si>
  <si>
    <t>022706130</t>
  </si>
  <si>
    <t>0101032365</t>
  </si>
  <si>
    <t>022761995</t>
  </si>
  <si>
    <t>0101898581</t>
  </si>
  <si>
    <t>151111535</t>
  </si>
  <si>
    <t>0101032397</t>
  </si>
  <si>
    <t>022051516</t>
  </si>
  <si>
    <t>0102905048</t>
  </si>
  <si>
    <t>022239081</t>
  </si>
  <si>
    <t>STK Thẻ</t>
  </si>
  <si>
    <t>0101207360</t>
  </si>
  <si>
    <t>023888797</t>
  </si>
  <si>
    <t>0101898579</t>
  </si>
  <si>
    <t>321025857</t>
  </si>
  <si>
    <t>0103919706</t>
  </si>
  <si>
    <t>023456857</t>
  </si>
  <si>
    <t>0101261588</t>
  </si>
  <si>
    <t>300979165</t>
  </si>
  <si>
    <t>0106805094</t>
  </si>
  <si>
    <t>273432836</t>
  </si>
  <si>
    <t>0101032442</t>
  </si>
  <si>
    <t>023115100</t>
  </si>
  <si>
    <t>0101421194</t>
  </si>
  <si>
    <t>0101032358</t>
  </si>
  <si>
    <t>023412057</t>
  </si>
  <si>
    <t>0102468641</t>
  </si>
  <si>
    <t>301199510</t>
  </si>
  <si>
    <t>0103510228</t>
  </si>
  <si>
    <t>023594822</t>
  </si>
  <si>
    <t>0104402509</t>
  </si>
  <si>
    <t>186024722</t>
  </si>
  <si>
    <t>0103262313</t>
  </si>
  <si>
    <t>024726408</t>
  </si>
  <si>
    <t>0105233903</t>
  </si>
  <si>
    <t>162708824</t>
  </si>
  <si>
    <t>0101032413</t>
  </si>
  <si>
    <t>021584712</t>
  </si>
  <si>
    <t>0101032363</t>
  </si>
  <si>
    <t>160844308</t>
  </si>
  <si>
    <t>0102827617</t>
  </si>
  <si>
    <t>182182951</t>
  </si>
  <si>
    <t>0101406662</t>
  </si>
  <si>
    <t>023799692</t>
  </si>
  <si>
    <t>0101262427</t>
  </si>
  <si>
    <t>0101894085</t>
  </si>
  <si>
    <t>0103751152</t>
  </si>
  <si>
    <t>031325297</t>
  </si>
  <si>
    <t>0103288653</t>
  </si>
  <si>
    <t>280987487</t>
  </si>
  <si>
    <t>Anh</t>
  </si>
  <si>
    <t>0101898437</t>
  </si>
  <si>
    <t>020415975</t>
  </si>
  <si>
    <t>164322867</t>
  </si>
  <si>
    <t>0107331943</t>
  </si>
  <si>
    <t>031033300</t>
  </si>
  <si>
    <t>Lê Trần Quốc</t>
  </si>
  <si>
    <t xml:space="preserve"> 0107253435</t>
  </si>
  <si>
    <t>024005064</t>
  </si>
  <si>
    <t>0107299295</t>
  </si>
  <si>
    <t>023625057</t>
  </si>
  <si>
    <t>Dự trữ trong tháng</t>
  </si>
  <si>
    <t>Trần Quốc</t>
  </si>
  <si>
    <t>100767344</t>
  </si>
  <si>
    <t>0107050151</t>
  </si>
  <si>
    <t>0107646272</t>
  </si>
  <si>
    <t>024830452</t>
  </si>
  <si>
    <t>0101469943</t>
  </si>
  <si>
    <t>020681558</t>
  </si>
  <si>
    <t>0104029023</t>
  </si>
  <si>
    <t>0101898446</t>
  </si>
  <si>
    <t>023412783</t>
  </si>
  <si>
    <t>0102211443</t>
  </si>
  <si>
    <t>030698998</t>
  </si>
  <si>
    <t>0101032395</t>
  </si>
  <si>
    <t>025219132</t>
  </si>
  <si>
    <t>290719647</t>
  </si>
  <si>
    <t>0102907708</t>
  </si>
  <si>
    <t>0104637900</t>
  </si>
  <si>
    <t>031500536</t>
  </si>
  <si>
    <t>0107727805</t>
  </si>
  <si>
    <t>023748315</t>
  </si>
  <si>
    <t>Tp2</t>
  </si>
  <si>
    <t>0104235335</t>
  </si>
  <si>
    <t>031119835</t>
  </si>
  <si>
    <t>Trần Văn</t>
  </si>
  <si>
    <t>271316144</t>
  </si>
  <si>
    <t>0107919993</t>
  </si>
  <si>
    <t>Nguyễn Hữu Trường</t>
  </si>
  <si>
    <t>0106250663</t>
  </si>
  <si>
    <t>025295634</t>
  </si>
  <si>
    <t>HS</t>
  </si>
  <si>
    <t>Hà Huy</t>
  </si>
  <si>
    <t>Khương</t>
  </si>
  <si>
    <t>0102318283</t>
  </si>
  <si>
    <t>025025003</t>
  </si>
  <si>
    <t>TRƯỞNG PHÒNG HC-NS</t>
  </si>
  <si>
    <t>0102966597</t>
  </si>
  <si>
    <t>0108030237</t>
  </si>
  <si>
    <t>031018617</t>
  </si>
  <si>
    <t>0101439023</t>
  </si>
  <si>
    <t>0103230771</t>
  </si>
  <si>
    <t>321332142</t>
  </si>
  <si>
    <t>Nguyễn Thị Phương</t>
  </si>
  <si>
    <t>Trinh</t>
  </si>
  <si>
    <t>Hồ Viết</t>
  </si>
  <si>
    <t>0101135428</t>
  </si>
  <si>
    <t>182395156</t>
  </si>
  <si>
    <t>Hoàng</t>
  </si>
  <si>
    <t>021660466</t>
  </si>
  <si>
    <t>0103560970</t>
  </si>
  <si>
    <t xml:space="preserve">Bùi Văn </t>
  </si>
  <si>
    <t>0108142127</t>
  </si>
  <si>
    <t>031518848</t>
  </si>
  <si>
    <t>0108166234</t>
  </si>
  <si>
    <t>162386521</t>
  </si>
  <si>
    <t xml:space="preserve">Vũ Thái </t>
  </si>
  <si>
    <t>031751924</t>
  </si>
  <si>
    <t>0103488675</t>
  </si>
  <si>
    <t>023364361</t>
  </si>
  <si>
    <t>0108218561</t>
  </si>
  <si>
    <t>0101253255</t>
  </si>
  <si>
    <t>361975711</t>
  </si>
  <si>
    <t>Phan Bá</t>
  </si>
  <si>
    <t>Bách</t>
  </si>
  <si>
    <t>0108271817</t>
  </si>
  <si>
    <t>031936820</t>
  </si>
  <si>
    <t>030991752</t>
  </si>
  <si>
    <t>0108276199</t>
  </si>
  <si>
    <t xml:space="preserve">Nguyễn Đức </t>
  </si>
  <si>
    <t>0102467727</t>
  </si>
  <si>
    <t>331538075</t>
  </si>
  <si>
    <t>0108306699</t>
  </si>
  <si>
    <t>161714529</t>
  </si>
  <si>
    <t>Ngô Thị Thanh</t>
  </si>
  <si>
    <t>Trần Thái Nguyên</t>
  </si>
  <si>
    <t>Đào Toàn</t>
  </si>
  <si>
    <t>0103736922</t>
  </si>
  <si>
    <t>Đỗ Vinh</t>
  </si>
  <si>
    <t>Thu nhập thỏa thuận</t>
  </si>
  <si>
    <t>Phụ cấp</t>
  </si>
  <si>
    <t>Nguyễn Thị Huệ</t>
  </si>
  <si>
    <t>Lương theo chức danh</t>
  </si>
  <si>
    <t>LƯƠNG 
CĂN BẢN</t>
  </si>
  <si>
    <t>0109052956</t>
  </si>
  <si>
    <t>0109052750</t>
  </si>
  <si>
    <t>023835432</t>
  </si>
  <si>
    <t>024426932</t>
  </si>
  <si>
    <t>Vũ Đức</t>
  </si>
  <si>
    <t>Thức</t>
  </si>
  <si>
    <t>0104193345</t>
  </si>
  <si>
    <t>215057375</t>
  </si>
  <si>
    <t>0109238301</t>
  </si>
  <si>
    <t>030977821</t>
  </si>
  <si>
    <t>Lê Xuân</t>
  </si>
  <si>
    <t>0109178942</t>
  </si>
  <si>
    <t>151177264</t>
  </si>
  <si>
    <t>0106328956</t>
  </si>
  <si>
    <t>021571631</t>
  </si>
  <si>
    <t>0104001992</t>
  </si>
  <si>
    <t>0109419195</t>
  </si>
  <si>
    <t>211860035</t>
  </si>
  <si>
    <t>Nguyễn Tài</t>
  </si>
  <si>
    <t>0101510673</t>
  </si>
  <si>
    <t>024993401</t>
  </si>
  <si>
    <t>0109654711</t>
  </si>
  <si>
    <t>031070371</t>
  </si>
  <si>
    <t>0108398671</t>
  </si>
  <si>
    <t>Phan Thanh</t>
  </si>
  <si>
    <t>023192595</t>
  </si>
  <si>
    <t>0108501037</t>
  </si>
  <si>
    <t>0108527693</t>
  </si>
  <si>
    <t>023777737</t>
  </si>
  <si>
    <t>0108522128</t>
  </si>
  <si>
    <t>031180713</t>
  </si>
  <si>
    <t>Đoàn Quốc</t>
  </si>
  <si>
    <t>100755481</t>
  </si>
  <si>
    <t>0108517507</t>
  </si>
  <si>
    <t>025444132</t>
  </si>
  <si>
    <t>025335329</t>
  </si>
  <si>
    <t>023873543</t>
  </si>
  <si>
    <t>363749287</t>
  </si>
  <si>
    <t>025176962</t>
  </si>
  <si>
    <t>300974866</t>
  </si>
  <si>
    <t>023668982</t>
  </si>
  <si>
    <t>024973467</t>
  </si>
  <si>
    <t>025513581</t>
  </si>
  <si>
    <t>272489114</t>
  </si>
  <si>
    <t>025306715</t>
  </si>
  <si>
    <t>301479363</t>
  </si>
  <si>
    <t>Máy 3</t>
  </si>
  <si>
    <t>Phục vụ</t>
  </si>
  <si>
    <t>0108507037</t>
  </si>
  <si>
    <t>011959304</t>
  </si>
  <si>
    <t>Trần Viết</t>
  </si>
  <si>
    <t>031086491</t>
  </si>
  <si>
    <t>0109612254</t>
  </si>
  <si>
    <t>Tấn</t>
  </si>
  <si>
    <t>020356448</t>
  </si>
  <si>
    <t>0108048904</t>
  </si>
  <si>
    <t>031381876</t>
  </si>
  <si>
    <t>0103346949</t>
  </si>
  <si>
    <t>0105944800</t>
  </si>
  <si>
    <t>Cần</t>
  </si>
  <si>
    <t>0108422693</t>
  </si>
  <si>
    <t>361694423</t>
  </si>
  <si>
    <t>Trang</t>
  </si>
  <si>
    <t>Nguyễn Thị Thu</t>
  </si>
  <si>
    <t>031491043</t>
  </si>
  <si>
    <t>0108635441</t>
  </si>
  <si>
    <t>025216365</t>
  </si>
  <si>
    <t>0108661950</t>
  </si>
  <si>
    <t>Nguyễn Đông</t>
  </si>
  <si>
    <t>013493687</t>
  </si>
  <si>
    <t>Hoài</t>
  </si>
  <si>
    <t>0102861182</t>
  </si>
  <si>
    <t>Quốc</t>
  </si>
  <si>
    <t>0108743426</t>
  </si>
  <si>
    <t>025863585</t>
  </si>
  <si>
    <t xml:space="preserve">Bùi Trung </t>
  </si>
  <si>
    <t>301378257</t>
  </si>
  <si>
    <t>0103877932</t>
  </si>
  <si>
    <t>0108698797</t>
  </si>
  <si>
    <t>0108650616</t>
  </si>
  <si>
    <t>0108702305</t>
  </si>
  <si>
    <t>Huỳnh Văn</t>
  </si>
  <si>
    <t>0103756168</t>
  </si>
  <si>
    <t>021602176</t>
  </si>
  <si>
    <t>0109058288</t>
  </si>
  <si>
    <t>Nghiêm Việt</t>
  </si>
  <si>
    <t>012464143</t>
  </si>
  <si>
    <t>0109529058</t>
  </si>
  <si>
    <t>Đại phó</t>
  </si>
  <si>
    <t>0106190205</t>
  </si>
  <si>
    <t>162671518</t>
  </si>
  <si>
    <t>Nguyễn Thạc</t>
  </si>
  <si>
    <t>0101838550</t>
  </si>
  <si>
    <t>031083000275</t>
  </si>
  <si>
    <t>Nguyễn Đình Thủy</t>
  </si>
  <si>
    <t>Tiên</t>
  </si>
  <si>
    <t>Ngô Lê</t>
  </si>
  <si>
    <t>0102861982</t>
  </si>
  <si>
    <t>022648791</t>
  </si>
  <si>
    <t>0</t>
  </si>
  <si>
    <t>023597030</t>
  </si>
  <si>
    <t>0101076757</t>
  </si>
  <si>
    <t>Huyền</t>
  </si>
  <si>
    <t>Trần Thị Thanh</t>
  </si>
  <si>
    <t>Mẫn</t>
  </si>
  <si>
    <t>024863142</t>
  </si>
  <si>
    <t>0109711978</t>
  </si>
  <si>
    <t>021866645</t>
  </si>
  <si>
    <t>0109636759</t>
  </si>
  <si>
    <t>030985534</t>
  </si>
  <si>
    <t>Nguyễn Hồng</t>
  </si>
  <si>
    <t>Ân</t>
  </si>
  <si>
    <t>0109721941</t>
  </si>
  <si>
    <t>0109742669</t>
  </si>
  <si>
    <t>0108359772</t>
  </si>
  <si>
    <t>0109740368</t>
  </si>
  <si>
    <t>Lê Tuấn</t>
  </si>
  <si>
    <t>0106563439</t>
  </si>
  <si>
    <t>023344946</t>
  </si>
  <si>
    <t>Nguyễn Thắng</t>
  </si>
  <si>
    <t>Trí</t>
  </si>
  <si>
    <t>0102046288</t>
  </si>
  <si>
    <t>0106298201</t>
  </si>
  <si>
    <t>0101032459</t>
  </si>
  <si>
    <t>024413165</t>
  </si>
  <si>
    <t>0104780060</t>
  </si>
  <si>
    <t>Ngô Hồng Minh</t>
  </si>
  <si>
    <t>Thủy thủ</t>
  </si>
  <si>
    <t>0103005091</t>
  </si>
  <si>
    <t>024332166</t>
  </si>
  <si>
    <t>0108374894</t>
  </si>
  <si>
    <t>Phúc</t>
  </si>
  <si>
    <t>031175519</t>
  </si>
  <si>
    <t>Hoàng Bá</t>
  </si>
  <si>
    <t>Toán</t>
  </si>
  <si>
    <t>0109784880</t>
  </si>
  <si>
    <t>Th. Trưởng</t>
  </si>
  <si>
    <t>0109787590</t>
  </si>
  <si>
    <t>0108665366</t>
  </si>
  <si>
    <t>Số ngày đi tàu</t>
  </si>
  <si>
    <t>Nguyễn Huy</t>
  </si>
  <si>
    <t>0106733238</t>
  </si>
  <si>
    <t>183838340</t>
  </si>
  <si>
    <t>0104190751</t>
  </si>
  <si>
    <t>0109805745</t>
  </si>
  <si>
    <t>0109763435</t>
  </si>
  <si>
    <t>031438716</t>
  </si>
  <si>
    <t>0102191981</t>
  </si>
  <si>
    <t>022747043</t>
  </si>
  <si>
    <t>0101082529</t>
  </si>
  <si>
    <t>023111585</t>
  </si>
  <si>
    <t>0104498441</t>
  </si>
  <si>
    <t>023336007</t>
  </si>
  <si>
    <t>0109828542</t>
  </si>
  <si>
    <t>025257529</t>
  </si>
  <si>
    <t>0107810768</t>
  </si>
  <si>
    <t>280962394</t>
  </si>
  <si>
    <t>0101858402</t>
  </si>
  <si>
    <t>023895548</t>
  </si>
  <si>
    <t>0109829172</t>
  </si>
  <si>
    <t>031778733</t>
  </si>
  <si>
    <t>034076001287</t>
  </si>
  <si>
    <t>024997103</t>
  </si>
  <si>
    <t>021596410</t>
  </si>
  <si>
    <t>093085000001</t>
  </si>
  <si>
    <t>025830647</t>
  </si>
  <si>
    <t>025871424</t>
  </si>
  <si>
    <t>A22589</t>
  </si>
  <si>
    <t>001083007498</t>
  </si>
  <si>
    <t>0109895426</t>
  </si>
  <si>
    <t>031220094</t>
  </si>
  <si>
    <t>0109836777</t>
  </si>
  <si>
    <t>031392717</t>
  </si>
  <si>
    <t>0109845832</t>
  </si>
  <si>
    <t>Hường</t>
  </si>
  <si>
    <t>0108684647</t>
  </si>
  <si>
    <t>0101827042</t>
  </si>
  <si>
    <t>0109902481</t>
  </si>
  <si>
    <t>300740065</t>
  </si>
  <si>
    <t>0109850440</t>
  </si>
  <si>
    <t>Vũ Hà</t>
  </si>
  <si>
    <t>031558173</t>
  </si>
  <si>
    <t>0102399885</t>
  </si>
  <si>
    <t>Trần Nam</t>
  </si>
  <si>
    <t>031071000170</t>
  </si>
  <si>
    <t>0109876572</t>
  </si>
  <si>
    <t>Sang</t>
  </si>
  <si>
    <t>321403673</t>
  </si>
  <si>
    <t>0109855197</t>
  </si>
  <si>
    <t xml:space="preserve">Vũ Viết </t>
  </si>
  <si>
    <t>031088000880</t>
  </si>
  <si>
    <t>0107650673</t>
  </si>
  <si>
    <t>131385160</t>
  </si>
  <si>
    <t>0102397006</t>
  </si>
  <si>
    <t>031093001060</t>
  </si>
  <si>
    <t>0109858683</t>
  </si>
  <si>
    <t>Nguyễn Xuân</t>
  </si>
  <si>
    <t>030831156</t>
  </si>
  <si>
    <t>0109810603</t>
  </si>
  <si>
    <t>0109895168</t>
  </si>
  <si>
    <t>022930664</t>
  </si>
  <si>
    <t>031078000664</t>
  </si>
  <si>
    <t>Võ Huy</t>
  </si>
  <si>
    <t>0103123631</t>
  </si>
  <si>
    <t>024444262</t>
  </si>
  <si>
    <t>0109855665</t>
  </si>
  <si>
    <t>031459503</t>
  </si>
  <si>
    <t>0101538481</t>
  </si>
  <si>
    <t>024005626</t>
  </si>
  <si>
    <t>0107617759</t>
  </si>
  <si>
    <t>Hiếu</t>
  </si>
  <si>
    <t>0109869375</t>
  </si>
  <si>
    <t>025986286</t>
  </si>
  <si>
    <t>031131941</t>
  </si>
  <si>
    <t>Đỗ Văn</t>
  </si>
  <si>
    <t>Thân</t>
  </si>
  <si>
    <t>0104074543</t>
  </si>
  <si>
    <t>Lê Việt</t>
  </si>
  <si>
    <t>0109860033</t>
  </si>
  <si>
    <t>Phan Hữu Anh</t>
  </si>
  <si>
    <t>0104062313</t>
  </si>
  <si>
    <t>0109945211</t>
  </si>
  <si>
    <t>024778105</t>
  </si>
  <si>
    <t>0102852925</t>
  </si>
  <si>
    <t>0109891016</t>
  </si>
  <si>
    <t>0109600946</t>
  </si>
  <si>
    <t>031856494</t>
  </si>
  <si>
    <t>Học</t>
  </si>
  <si>
    <t>0101032428</t>
  </si>
  <si>
    <t>023909925</t>
  </si>
  <si>
    <t>0109951612</t>
  </si>
  <si>
    <t>0101321025</t>
  </si>
  <si>
    <t>Đinh Duy</t>
  </si>
  <si>
    <t>Luận</t>
  </si>
  <si>
    <t>0109965963</t>
  </si>
  <si>
    <t>0102684152</t>
  </si>
  <si>
    <t>023744253</t>
  </si>
  <si>
    <t>0109953481</t>
  </si>
  <si>
    <t>025252219</t>
  </si>
  <si>
    <t xml:space="preserve"> 0109969447</t>
  </si>
  <si>
    <t>025000677</t>
  </si>
  <si>
    <t>0109935578</t>
  </si>
  <si>
    <t>VCB</t>
  </si>
  <si>
    <t>Nguyễn Hương Thanh</t>
  </si>
  <si>
    <t>0108495441</t>
  </si>
  <si>
    <t>Đồng Xuân</t>
  </si>
  <si>
    <t>Vũ</t>
  </si>
  <si>
    <t>0103176223</t>
  </si>
  <si>
    <t>272090085</t>
  </si>
  <si>
    <t>0101898583</t>
  </si>
  <si>
    <t>025794443</t>
  </si>
  <si>
    <t>Huyên</t>
  </si>
  <si>
    <t>0102860565</t>
  </si>
  <si>
    <t>Chu Văn</t>
  </si>
  <si>
    <t>0109935933</t>
  </si>
  <si>
    <t>031759994</t>
  </si>
  <si>
    <t>0104142673</t>
  </si>
  <si>
    <t>0107281685</t>
  </si>
  <si>
    <t>025412021</t>
  </si>
  <si>
    <t>Vũ Tiến</t>
  </si>
  <si>
    <t>0109931310</t>
  </si>
  <si>
    <t>025415381</t>
  </si>
  <si>
    <t>0109022794</t>
  </si>
  <si>
    <t>0109556818</t>
  </si>
  <si>
    <t>0110013569</t>
  </si>
  <si>
    <t>024166145</t>
  </si>
  <si>
    <t>022462087</t>
  </si>
  <si>
    <t>0108354724</t>
  </si>
  <si>
    <t>024705349</t>
  </si>
  <si>
    <t>Nhiệm</t>
  </si>
  <si>
    <t>Châu Hoàng</t>
  </si>
  <si>
    <t>Tiệp</t>
  </si>
  <si>
    <t>Vinh</t>
  </si>
  <si>
    <t>Viết</t>
  </si>
  <si>
    <t>0104005176</t>
  </si>
  <si>
    <t>0110000896</t>
  </si>
  <si>
    <t>024405752</t>
  </si>
  <si>
    <t>0110019483</t>
  </si>
  <si>
    <t>0109950311</t>
  </si>
  <si>
    <t>0110040538</t>
  </si>
  <si>
    <t>0110019008</t>
  </si>
  <si>
    <t>0108483848</t>
  </si>
  <si>
    <t xml:space="preserve">Thái </t>
  </si>
  <si>
    <t>vcb</t>
  </si>
  <si>
    <t>Tp3</t>
  </si>
  <si>
    <t>024445357</t>
  </si>
  <si>
    <t>Bùi Văn</t>
  </si>
  <si>
    <t>0102706764</t>
  </si>
  <si>
    <t>Trình</t>
  </si>
  <si>
    <t>9704366800068186013</t>
  </si>
  <si>
    <t xml:space="preserve">LE TRI DUNG              </t>
  </si>
  <si>
    <t xml:space="preserve">0511000437134      </t>
  </si>
  <si>
    <t>9704366800069367018</t>
  </si>
  <si>
    <t xml:space="preserve">LE NGOC CANH             </t>
  </si>
  <si>
    <t xml:space="preserve">0511000437227      </t>
  </si>
  <si>
    <t>9704366800740104020</t>
  </si>
  <si>
    <t xml:space="preserve">NGUYEN VAN NGHIA         </t>
  </si>
  <si>
    <t xml:space="preserve">0511000437395      </t>
  </si>
  <si>
    <t>9704366800777973016</t>
  </si>
  <si>
    <t xml:space="preserve">NGUYEN KHAC HOANG        </t>
  </si>
  <si>
    <t xml:space="preserve">0511000437259      </t>
  </si>
  <si>
    <t>9704366800794800028</t>
  </si>
  <si>
    <t xml:space="preserve">TRUONG VAN THUAN         </t>
  </si>
  <si>
    <t xml:space="preserve">0511000437218      </t>
  </si>
  <si>
    <t>9704366800950679018</t>
  </si>
  <si>
    <t xml:space="preserve">DUONG BAO THAI           </t>
  </si>
  <si>
    <t xml:space="preserve">0511000437355      </t>
  </si>
  <si>
    <t>9704366801023650010</t>
  </si>
  <si>
    <t xml:space="preserve">NGUYEN VAN MINH          </t>
  </si>
  <si>
    <t xml:space="preserve">0511000437202      </t>
  </si>
  <si>
    <t>9704366801112422016</t>
  </si>
  <si>
    <t xml:space="preserve">DONG DUYEN PHUONG        </t>
  </si>
  <si>
    <t xml:space="preserve">0511000437392      </t>
  </si>
  <si>
    <t>9704366801169647028</t>
  </si>
  <si>
    <t xml:space="preserve">NGUYEN HUONG THANH TAM   </t>
  </si>
  <si>
    <t xml:space="preserve">0511000437354      </t>
  </si>
  <si>
    <t>9704366801204769019</t>
  </si>
  <si>
    <t xml:space="preserve">DINH XUAN THANH          </t>
  </si>
  <si>
    <t xml:space="preserve">0511000437361      </t>
  </si>
  <si>
    <t>9704366801242180013</t>
  </si>
  <si>
    <t xml:space="preserve">NGUYEN THI HUE LINH      </t>
  </si>
  <si>
    <t xml:space="preserve">0511000437162      </t>
  </si>
  <si>
    <t>9704366801244968027</t>
  </si>
  <si>
    <t xml:space="preserve">BUI THI THU THAO         </t>
  </si>
  <si>
    <t xml:space="preserve">0511000437163      </t>
  </si>
  <si>
    <t>9704366801454694032</t>
  </si>
  <si>
    <t xml:space="preserve">VUONG NGOC SON           </t>
  </si>
  <si>
    <t xml:space="preserve">0511000437394      </t>
  </si>
  <si>
    <t>9704366801467387012</t>
  </si>
  <si>
    <t xml:space="preserve">MAI XUAN TRONG           </t>
  </si>
  <si>
    <t xml:space="preserve">0511000437181      </t>
  </si>
  <si>
    <t>9704366801736153013</t>
  </si>
  <si>
    <t xml:space="preserve">NGUYEN HOANG THONG       </t>
  </si>
  <si>
    <t xml:space="preserve">0511000437139      </t>
  </si>
  <si>
    <t>9704366801816027020</t>
  </si>
  <si>
    <t xml:space="preserve">NGUYEN XUAN HAO          </t>
  </si>
  <si>
    <t xml:space="preserve">0511000437282      </t>
  </si>
  <si>
    <t>9704366801954382013</t>
  </si>
  <si>
    <t xml:space="preserve">NGUYEN DUC HUY           </t>
  </si>
  <si>
    <t xml:space="preserve">0511000437272      </t>
  </si>
  <si>
    <t>9704366802039711010</t>
  </si>
  <si>
    <t xml:space="preserve">NGUYEN VAN DANH          </t>
  </si>
  <si>
    <t xml:space="preserve">0511000437222      </t>
  </si>
  <si>
    <t>9704366802330726014</t>
  </si>
  <si>
    <t xml:space="preserve">BUI XUAN NAM             </t>
  </si>
  <si>
    <t xml:space="preserve">0511000437390      </t>
  </si>
  <si>
    <t>9704366802408392020</t>
  </si>
  <si>
    <t xml:space="preserve">NGUYEN VAN HOC           </t>
  </si>
  <si>
    <t xml:space="preserve">0511000437260      </t>
  </si>
  <si>
    <t>9704366802711089016</t>
  </si>
  <si>
    <t xml:space="preserve">HA CAT LINH              </t>
  </si>
  <si>
    <t xml:space="preserve">0511000437328      </t>
  </si>
  <si>
    <t>9704366802828739024</t>
  </si>
  <si>
    <t xml:space="preserve">NGUYEN NHAT THINH        </t>
  </si>
  <si>
    <t xml:space="preserve">0511000437360      </t>
  </si>
  <si>
    <t>9704366802895210016</t>
  </si>
  <si>
    <t xml:space="preserve">NGO THI PHUONG THAO      </t>
  </si>
  <si>
    <t xml:space="preserve">0511000437140      </t>
  </si>
  <si>
    <t>9704366802956735018</t>
  </si>
  <si>
    <t xml:space="preserve">HUYNH VIET HOA           </t>
  </si>
  <si>
    <t xml:space="preserve">0511000437255      </t>
  </si>
  <si>
    <t>9704366803158690019</t>
  </si>
  <si>
    <t xml:space="preserve">TRAN HUU LOI             </t>
  </si>
  <si>
    <t xml:space="preserve">0511000437384      </t>
  </si>
  <si>
    <t>9704366803249115018</t>
  </si>
  <si>
    <t xml:space="preserve">TRUONG QUOC KHANH        </t>
  </si>
  <si>
    <t xml:space="preserve">0511000437309      </t>
  </si>
  <si>
    <t>9704366803517385038</t>
  </si>
  <si>
    <t xml:space="preserve">HO VIET HOANG            </t>
  </si>
  <si>
    <t xml:space="preserve">0511000437258      </t>
  </si>
  <si>
    <t>9704366803538890032</t>
  </si>
  <si>
    <t xml:space="preserve">NGUYEN VAN THANH         </t>
  </si>
  <si>
    <t xml:space="preserve">0511000437359      </t>
  </si>
  <si>
    <t>9704366803665807015</t>
  </si>
  <si>
    <t xml:space="preserve">VO TRONG KHOA            </t>
  </si>
  <si>
    <t xml:space="preserve">0511000437236      </t>
  </si>
  <si>
    <t>9704366803705734013</t>
  </si>
  <si>
    <t xml:space="preserve">LE HONG SON              </t>
  </si>
  <si>
    <t xml:space="preserve">0511000437135      </t>
  </si>
  <si>
    <t>9704366803705742016</t>
  </si>
  <si>
    <t xml:space="preserve">MAI VAN TUNG             </t>
  </si>
  <si>
    <t xml:space="preserve">0511000412069      </t>
  </si>
  <si>
    <t>9704366804170125018</t>
  </si>
  <si>
    <t xml:space="preserve">NGUYEN THANH PHONG       </t>
  </si>
  <si>
    <t xml:space="preserve">0511000437242      </t>
  </si>
  <si>
    <t>9704366804335767027</t>
  </si>
  <si>
    <t xml:space="preserve">NGUYEN BA THANG          </t>
  </si>
  <si>
    <t xml:space="preserve">0511000437329      </t>
  </si>
  <si>
    <t>9704366804433520021</t>
  </si>
  <si>
    <t xml:space="preserve">NGUYEN HOANG THIEN       </t>
  </si>
  <si>
    <t xml:space="preserve">0511000437362      </t>
  </si>
  <si>
    <t>9704366804506705020</t>
  </si>
  <si>
    <t xml:space="preserve">NGUYEN THI KIM DUYEN     </t>
  </si>
  <si>
    <t xml:space="preserve">0511000437204      </t>
  </si>
  <si>
    <t>9704366804635623037</t>
  </si>
  <si>
    <t xml:space="preserve">LE DUONG HOANG           </t>
  </si>
  <si>
    <t xml:space="preserve">0511000437257      </t>
  </si>
  <si>
    <t>9704366804640624012</t>
  </si>
  <si>
    <t xml:space="preserve">HO VAN THIEN             </t>
  </si>
  <si>
    <t xml:space="preserve">0511003902320      </t>
  </si>
  <si>
    <t>9704366804642212022</t>
  </si>
  <si>
    <t xml:space="preserve">CAO VAN HOAN             </t>
  </si>
  <si>
    <t xml:space="preserve">0511000437256      </t>
  </si>
  <si>
    <t>9704366804674113031</t>
  </si>
  <si>
    <t xml:space="preserve">NGO TRUNG THONG          </t>
  </si>
  <si>
    <t xml:space="preserve">0511000437138      </t>
  </si>
  <si>
    <t>9704366804675941034</t>
  </si>
  <si>
    <t xml:space="preserve">NGUYEN MINH MAN          </t>
  </si>
  <si>
    <t xml:space="preserve">0511000437404      </t>
  </si>
  <si>
    <t>9704366804680777027</t>
  </si>
  <si>
    <t xml:space="preserve">TRAN NGOC NHAN           </t>
  </si>
  <si>
    <t xml:space="preserve">0511000437391      </t>
  </si>
  <si>
    <t>9704366804693519010</t>
  </si>
  <si>
    <t xml:space="preserve">NGUYEN NGOC HANG         </t>
  </si>
  <si>
    <t xml:space="preserve">0511000437205      </t>
  </si>
  <si>
    <t>9704366805043165024</t>
  </si>
  <si>
    <t xml:space="preserve">PHUNG NGUYEN THANG       </t>
  </si>
  <si>
    <t xml:space="preserve">0511000437358      </t>
  </si>
  <si>
    <t>9704366805280958024</t>
  </si>
  <si>
    <t xml:space="preserve">LUONG CONG HUYEN         </t>
  </si>
  <si>
    <t xml:space="preserve">0511000437306      </t>
  </si>
  <si>
    <t>9704366805445816018</t>
  </si>
  <si>
    <t xml:space="preserve">TRUONG DUC THINH         </t>
  </si>
  <si>
    <t xml:space="preserve">0511000437324      </t>
  </si>
  <si>
    <t>9704366805736492024</t>
  </si>
  <si>
    <t xml:space="preserve">PHAM LUONG               </t>
  </si>
  <si>
    <t xml:space="preserve">0511000437388      </t>
  </si>
  <si>
    <t>9704366805976134013</t>
  </si>
  <si>
    <t xml:space="preserve">TRAN THAI NGUYEN         </t>
  </si>
  <si>
    <t xml:space="preserve">0511000437190      </t>
  </si>
  <si>
    <t>9704366806442375024</t>
  </si>
  <si>
    <t xml:space="preserve">HUYNH TRUONG SON         </t>
  </si>
  <si>
    <t xml:space="preserve">0511000437385      </t>
  </si>
  <si>
    <t>9704366806689319016</t>
  </si>
  <si>
    <t xml:space="preserve">NGUYEN TRI PHUC          </t>
  </si>
  <si>
    <t xml:space="preserve">0511000437370      </t>
  </si>
  <si>
    <t>9704366807553522024</t>
  </si>
  <si>
    <t xml:space="preserve">MAI THAI TIEN            </t>
  </si>
  <si>
    <t xml:space="preserve">0511000437157      </t>
  </si>
  <si>
    <t>9704366807815800028</t>
  </si>
  <si>
    <t xml:space="preserve">TRAN TRONG TAM           </t>
  </si>
  <si>
    <t xml:space="preserve">0511000437363      </t>
  </si>
  <si>
    <t>9704366808209121021</t>
  </si>
  <si>
    <t xml:space="preserve">HOANG VAN DUONG          </t>
  </si>
  <si>
    <t xml:space="preserve">0511000437276      </t>
  </si>
  <si>
    <t>9704366808657638013</t>
  </si>
  <si>
    <t xml:space="preserve">VU THAI HUNG             </t>
  </si>
  <si>
    <t xml:space="preserve">0511000437269      </t>
  </si>
  <si>
    <t>9704366808756494029</t>
  </si>
  <si>
    <t xml:space="preserve">DINH QUOC Y              </t>
  </si>
  <si>
    <t xml:space="preserve">0511000437382      </t>
  </si>
  <si>
    <t>9704366809204631014</t>
  </si>
  <si>
    <t xml:space="preserve">BUI VAN HOA              </t>
  </si>
  <si>
    <t xml:space="preserve">0511000437293      </t>
  </si>
  <si>
    <t>9704366810528822024</t>
  </si>
  <si>
    <t xml:space="preserve">TRAN HONG QUAN           </t>
  </si>
  <si>
    <t xml:space="preserve">0511000437393      </t>
  </si>
  <si>
    <t>9704366810618164014</t>
  </si>
  <si>
    <t xml:space="preserve">VO THI THUY TRANG        </t>
  </si>
  <si>
    <t xml:space="preserve">0511000437132      </t>
  </si>
  <si>
    <t>9704366810618172017</t>
  </si>
  <si>
    <t xml:space="preserve">NGUYEN VAN ANH           </t>
  </si>
  <si>
    <t xml:space="preserve">0511000437133      </t>
  </si>
  <si>
    <t>9704366810618201014</t>
  </si>
  <si>
    <t xml:space="preserve">NGUYEN DINH HUNG         </t>
  </si>
  <si>
    <t xml:space="preserve">0511000437136      </t>
  </si>
  <si>
    <t>9704366810618213019</t>
  </si>
  <si>
    <t xml:space="preserve">TRUONG THI MY Y          </t>
  </si>
  <si>
    <t xml:space="preserve">0511000437137      </t>
  </si>
  <si>
    <t>9704366810618242018</t>
  </si>
  <si>
    <t xml:space="preserve">HOANG BIET THU           </t>
  </si>
  <si>
    <t xml:space="preserve">0511000437141      </t>
  </si>
  <si>
    <t>9704366810618245011</t>
  </si>
  <si>
    <t xml:space="preserve">PHAM THAI SON            </t>
  </si>
  <si>
    <t xml:space="preserve">0511000437142      </t>
  </si>
  <si>
    <t>9704366810618251019</t>
  </si>
  <si>
    <t xml:space="preserve">NG HUU TRUONG THANH      </t>
  </si>
  <si>
    <t xml:space="preserve">0511000437143      </t>
  </si>
  <si>
    <t>9704366810618254013</t>
  </si>
  <si>
    <t xml:space="preserve">TRAN THANH LUU           </t>
  </si>
  <si>
    <t xml:space="preserve">0511000437144      </t>
  </si>
  <si>
    <t>9704366810618260010</t>
  </si>
  <si>
    <t xml:space="preserve">LE HAI ANH               </t>
  </si>
  <si>
    <t xml:space="preserve">0511000437146      </t>
  </si>
  <si>
    <t>9704366810618267015</t>
  </si>
  <si>
    <t xml:space="preserve">TRAN CONG LY             </t>
  </si>
  <si>
    <t xml:space="preserve">0511000437148      </t>
  </si>
  <si>
    <t>9704366810618269011</t>
  </si>
  <si>
    <t xml:space="preserve">TRAN VAN THUC            </t>
  </si>
  <si>
    <t xml:space="preserve">0511000437145      </t>
  </si>
  <si>
    <t>9704366810618272015</t>
  </si>
  <si>
    <t xml:space="preserve">NGUYEN DOAN GIA          </t>
  </si>
  <si>
    <t xml:space="preserve">0511000437149      </t>
  </si>
  <si>
    <t>9704366810618275018</t>
  </si>
  <si>
    <t xml:space="preserve">BUI THAI SON             </t>
  </si>
  <si>
    <t xml:space="preserve">0511000437147      </t>
  </si>
  <si>
    <t>9704366810618279010</t>
  </si>
  <si>
    <t xml:space="preserve">NGUYEN CONG MAN          </t>
  </si>
  <si>
    <t xml:space="preserve">0511000437150      </t>
  </si>
  <si>
    <t>9704366810618284010</t>
  </si>
  <si>
    <t xml:space="preserve">HAU NGOC TIEN            </t>
  </si>
  <si>
    <t xml:space="preserve">0511000437151      </t>
  </si>
  <si>
    <t>9704366810618285017</t>
  </si>
  <si>
    <t xml:space="preserve">NGUYEN VAN SUNG          </t>
  </si>
  <si>
    <t xml:space="preserve">0511000437152      </t>
  </si>
  <si>
    <t>9704366810618294019</t>
  </si>
  <si>
    <t xml:space="preserve">TRAN HUY TIEN            </t>
  </si>
  <si>
    <t xml:space="preserve">0511000437153      </t>
  </si>
  <si>
    <t>9704366810618295016</t>
  </si>
  <si>
    <t xml:space="preserve">VU QUANG NAM             </t>
  </si>
  <si>
    <t xml:space="preserve">0511000437156      </t>
  </si>
  <si>
    <t>9704366810618298010</t>
  </si>
  <si>
    <t xml:space="preserve">TRAN VAN TAM             </t>
  </si>
  <si>
    <t xml:space="preserve">0511000437154      </t>
  </si>
  <si>
    <t>9704366810618300014</t>
  </si>
  <si>
    <t xml:space="preserve">PHAM QUOC HUY            </t>
  </si>
  <si>
    <t xml:space="preserve">0511000437155      </t>
  </si>
  <si>
    <t>9704366810618304016</t>
  </si>
  <si>
    <t xml:space="preserve">VU VIET NAM              </t>
  </si>
  <si>
    <t xml:space="preserve">0511000437158      </t>
  </si>
  <si>
    <t>9704366810618306011</t>
  </si>
  <si>
    <t xml:space="preserve">VO DUY TAN               </t>
  </si>
  <si>
    <t xml:space="preserve">0511000437160      </t>
  </si>
  <si>
    <t>9704366810618309015</t>
  </si>
  <si>
    <t xml:space="preserve">TRAN VAN TIENG           </t>
  </si>
  <si>
    <t xml:space="preserve">0511000437159      </t>
  </si>
  <si>
    <t>9704366810618311011</t>
  </si>
  <si>
    <t xml:space="preserve">DO VAN THAN              </t>
  </si>
  <si>
    <t xml:space="preserve">0511000437164      </t>
  </si>
  <si>
    <t>9704366810618317018</t>
  </si>
  <si>
    <t xml:space="preserve">TRAN VIET HOA            </t>
  </si>
  <si>
    <t xml:space="preserve">0511000437166      </t>
  </si>
  <si>
    <t>9704366810618318016</t>
  </si>
  <si>
    <t xml:space="preserve">NGUYEN VAN TOA           </t>
  </si>
  <si>
    <t xml:space="preserve">0511000437165      </t>
  </si>
  <si>
    <t>9704366810618319014</t>
  </si>
  <si>
    <t xml:space="preserve">TRUONG MINH THANG        </t>
  </si>
  <si>
    <t xml:space="preserve">0511000437167      </t>
  </si>
  <si>
    <t>9704366810618320012</t>
  </si>
  <si>
    <t xml:space="preserve">NGUYEN HUU NAM           </t>
  </si>
  <si>
    <t xml:space="preserve">0511000437161      </t>
  </si>
  <si>
    <t>9704366810618323016</t>
  </si>
  <si>
    <t xml:space="preserve">DAU QUANG HOA            </t>
  </si>
  <si>
    <t xml:space="preserve">0511000437168      </t>
  </si>
  <si>
    <t>9704366810618325011</t>
  </si>
  <si>
    <t xml:space="preserve">LUU VAN THANG            </t>
  </si>
  <si>
    <t xml:space="preserve">0511000437169      </t>
  </si>
  <si>
    <t>9704366810618327017</t>
  </si>
  <si>
    <t xml:space="preserve">HO VAN NANG              </t>
  </si>
  <si>
    <t xml:space="preserve">0511000437172      </t>
  </si>
  <si>
    <t>9704366810618329013</t>
  </si>
  <si>
    <t xml:space="preserve">MAI CAO TUE              </t>
  </si>
  <si>
    <t xml:space="preserve">0511000437170      </t>
  </si>
  <si>
    <t>9704366810618330011</t>
  </si>
  <si>
    <t xml:space="preserve">NGO DUC TOAN             </t>
  </si>
  <si>
    <t xml:space="preserve">0511000437171      </t>
  </si>
  <si>
    <t>9704366810618332017</t>
  </si>
  <si>
    <t xml:space="preserve">PHAM VAN HOAN            </t>
  </si>
  <si>
    <t xml:space="preserve">0511000437173      </t>
  </si>
  <si>
    <t>9704366810618334013</t>
  </si>
  <si>
    <t xml:space="preserve">TRAN HUYNH QUANG THANG   </t>
  </si>
  <si>
    <t xml:space="preserve">0511000437174      </t>
  </si>
  <si>
    <t>9704366810618336018</t>
  </si>
  <si>
    <t xml:space="preserve">LE HOANG NGHIA           </t>
  </si>
  <si>
    <t xml:space="preserve">0511000437175      </t>
  </si>
  <si>
    <t>9704366810618337016</t>
  </si>
  <si>
    <t xml:space="preserve">LY KHOI TRI              </t>
  </si>
  <si>
    <t xml:space="preserve">0511000437177      </t>
  </si>
  <si>
    <t>9704366810618340010</t>
  </si>
  <si>
    <t xml:space="preserve">BUI TAT NGOC             </t>
  </si>
  <si>
    <t xml:space="preserve">0511000437180      </t>
  </si>
  <si>
    <t>9704366810618341018</t>
  </si>
  <si>
    <t xml:space="preserve">LE VAN THANG             </t>
  </si>
  <si>
    <t xml:space="preserve">0511000437178      </t>
  </si>
  <si>
    <t>9704366810618345019</t>
  </si>
  <si>
    <t xml:space="preserve">PHAM VAN THANH           </t>
  </si>
  <si>
    <t xml:space="preserve">0511000437182      </t>
  </si>
  <si>
    <t>9704366810618346017</t>
  </si>
  <si>
    <t xml:space="preserve">PHAM DINH NHAN           </t>
  </si>
  <si>
    <t xml:space="preserve">0511000437183      </t>
  </si>
  <si>
    <t>9704366810618347015</t>
  </si>
  <si>
    <t xml:space="preserve">LE THAI HOANG            </t>
  </si>
  <si>
    <t xml:space="preserve">0511000437179      </t>
  </si>
  <si>
    <t>9704366810618350019</t>
  </si>
  <si>
    <t xml:space="preserve">TRAN HOAI THANH          </t>
  </si>
  <si>
    <t xml:space="preserve">0511000437184      </t>
  </si>
  <si>
    <t>9704366810618351017</t>
  </si>
  <si>
    <t xml:space="preserve">LE THUA NHIEM            </t>
  </si>
  <si>
    <t xml:space="preserve">0511000437185      </t>
  </si>
  <si>
    <t>9704366810618353013</t>
  </si>
  <si>
    <t xml:space="preserve">NGO MINH THAM PHAN       </t>
  </si>
  <si>
    <t xml:space="preserve">0511000437187      </t>
  </si>
  <si>
    <t>9704366810618354011</t>
  </si>
  <si>
    <t xml:space="preserve">DANG THAI THANH          </t>
  </si>
  <si>
    <t xml:space="preserve">0511000437188      </t>
  </si>
  <si>
    <t>9704366810618357014</t>
  </si>
  <si>
    <t xml:space="preserve">TRAN HOANG PHONG         </t>
  </si>
  <si>
    <t xml:space="preserve">0511000437189      </t>
  </si>
  <si>
    <t>9704366810618359010</t>
  </si>
  <si>
    <t xml:space="preserve">CAO VAN THANH            </t>
  </si>
  <si>
    <t xml:space="preserve">0511000437176      </t>
  </si>
  <si>
    <t>9704366810618360018</t>
  </si>
  <si>
    <t xml:space="preserve">TA VAN PHUC              </t>
  </si>
  <si>
    <t xml:space="preserve">0511000437191      </t>
  </si>
  <si>
    <t>9704366810618362014</t>
  </si>
  <si>
    <t xml:space="preserve">LE CONG THANH            </t>
  </si>
  <si>
    <t xml:space="preserve">0511000437192      </t>
  </si>
  <si>
    <t>9704366810618364010</t>
  </si>
  <si>
    <t xml:space="preserve">BUI TIEN PHUONG          </t>
  </si>
  <si>
    <t xml:space="preserve">0511000437194      </t>
  </si>
  <si>
    <t>9704366810618365017</t>
  </si>
  <si>
    <t xml:space="preserve">TRAN MINH THIEN          </t>
  </si>
  <si>
    <t xml:space="preserve">0511000437195      </t>
  </si>
  <si>
    <t>9704366810618368011</t>
  </si>
  <si>
    <t xml:space="preserve">PHAM NGUYEN DANG KHOA    </t>
  </si>
  <si>
    <t xml:space="preserve">0511000437193      </t>
  </si>
  <si>
    <t>9704366810618372013</t>
  </si>
  <si>
    <t xml:space="preserve">NGUYEN MINH PHUONG       </t>
  </si>
  <si>
    <t xml:space="preserve">0511000437196      </t>
  </si>
  <si>
    <t>9704366810618373011</t>
  </si>
  <si>
    <t xml:space="preserve">BUI THI THOA             </t>
  </si>
  <si>
    <t xml:space="preserve">0511000437197      </t>
  </si>
  <si>
    <t>9704366810618376014</t>
  </si>
  <si>
    <t xml:space="preserve">NGO VAN PHUONG           </t>
  </si>
  <si>
    <t xml:space="preserve">0511000437198      </t>
  </si>
  <si>
    <t>9704366810618378010</t>
  </si>
  <si>
    <t xml:space="preserve">NGUYEN THI THU HUONG     </t>
  </si>
  <si>
    <t xml:space="preserve">0511000437199      </t>
  </si>
  <si>
    <t>9704366810618379018</t>
  </si>
  <si>
    <t xml:space="preserve">NGUYEN TOAN QUOC         </t>
  </si>
  <si>
    <t xml:space="preserve">0511000437200      </t>
  </si>
  <si>
    <t>9704366810618382012</t>
  </si>
  <si>
    <t xml:space="preserve">TRAN QUANG QUYNH         </t>
  </si>
  <si>
    <t xml:space="preserve">0511000437201      </t>
  </si>
  <si>
    <t>9704366810618384018</t>
  </si>
  <si>
    <t xml:space="preserve">HUYNH THANH SANG         </t>
  </si>
  <si>
    <t xml:space="preserve">0511000437203      </t>
  </si>
  <si>
    <t>9704366810618386013</t>
  </si>
  <si>
    <t xml:space="preserve">LE VAN NGOC              </t>
  </si>
  <si>
    <t xml:space="preserve">0511000437206      </t>
  </si>
  <si>
    <t>9704366810618390015</t>
  </si>
  <si>
    <t xml:space="preserve">NGUYEN THI THANH THUY    </t>
  </si>
  <si>
    <t xml:space="preserve">0511000437207      </t>
  </si>
  <si>
    <t>9704366810618393019</t>
  </si>
  <si>
    <t xml:space="preserve">NGUYEN KHA MINH          </t>
  </si>
  <si>
    <t xml:space="preserve">0511000437208      </t>
  </si>
  <si>
    <t>9704366810618396012</t>
  </si>
  <si>
    <t xml:space="preserve">NGUYEN YEN NHI           </t>
  </si>
  <si>
    <t xml:space="preserve">0511000437209      </t>
  </si>
  <si>
    <t>9704366810618402018</t>
  </si>
  <si>
    <t xml:space="preserve">TRAN MINH TUAN           </t>
  </si>
  <si>
    <t xml:space="preserve">0511000437210      </t>
  </si>
  <si>
    <t>9704366810618509010</t>
  </si>
  <si>
    <t xml:space="preserve">PHAM QUOC THIEU          </t>
  </si>
  <si>
    <t xml:space="preserve">0511000437212      </t>
  </si>
  <si>
    <t>9704366810618520017</t>
  </si>
  <si>
    <t xml:space="preserve">DOAN QUY THOA            </t>
  </si>
  <si>
    <t xml:space="preserve">0511000437213      </t>
  </si>
  <si>
    <t>9704366810618770018</t>
  </si>
  <si>
    <t xml:space="preserve">HOANG BA TOAN            </t>
  </si>
  <si>
    <t xml:space="preserve">0511000437215      </t>
  </si>
  <si>
    <t>9704366810618784019</t>
  </si>
  <si>
    <t xml:space="preserve">NGO VAN THOI             </t>
  </si>
  <si>
    <t xml:space="preserve">0511000437216      </t>
  </si>
  <si>
    <t>9704366810618817017</t>
  </si>
  <si>
    <t xml:space="preserve">NGUYEN HUU TIEP          </t>
  </si>
  <si>
    <t xml:space="preserve">0511000437219      </t>
  </si>
  <si>
    <t>9704366810618841017</t>
  </si>
  <si>
    <t xml:space="preserve">TRAN SONG ANH            </t>
  </si>
  <si>
    <t xml:space="preserve">0511000437220      </t>
  </si>
  <si>
    <t>9704366810618886012</t>
  </si>
  <si>
    <t xml:space="preserve">NGUYEN CONG BINH         </t>
  </si>
  <si>
    <t xml:space="preserve">0511000437221      </t>
  </si>
  <si>
    <t>9704366810618943011</t>
  </si>
  <si>
    <t xml:space="preserve">NGUYEN CHI BAO           </t>
  </si>
  <si>
    <t xml:space="preserve">0511000437223      </t>
  </si>
  <si>
    <t>9704366810619053018</t>
  </si>
  <si>
    <t xml:space="preserve">NGUYEN VU SON CA         </t>
  </si>
  <si>
    <t xml:space="preserve">0511000437226      </t>
  </si>
  <si>
    <t>9704366810619106014</t>
  </si>
  <si>
    <t xml:space="preserve">DINH VAN CHINH           </t>
  </si>
  <si>
    <t xml:space="preserve">0511000437228      </t>
  </si>
  <si>
    <t>9704366810619143017</t>
  </si>
  <si>
    <t xml:space="preserve">NGUYEN XUAN CHUNG        </t>
  </si>
  <si>
    <t xml:space="preserve">0511000437230      </t>
  </si>
  <si>
    <t>9704366810619480013</t>
  </si>
  <si>
    <t xml:space="preserve">THAI VAN CUONG           </t>
  </si>
  <si>
    <t xml:space="preserve">0511000437231      </t>
  </si>
  <si>
    <t>9704366810619938010</t>
  </si>
  <si>
    <t xml:space="preserve">NGUYEN THANH TRUC        </t>
  </si>
  <si>
    <t xml:space="preserve">0511000437237      </t>
  </si>
  <si>
    <t>9704366810619969015</t>
  </si>
  <si>
    <t xml:space="preserve">PHAM GIA BAO             </t>
  </si>
  <si>
    <t xml:space="preserve">0511000437238      </t>
  </si>
  <si>
    <t>9704366810621139011</t>
  </si>
  <si>
    <t xml:space="preserve">NGUYEN THANH HUONG       </t>
  </si>
  <si>
    <t xml:space="preserve">0511000437243      </t>
  </si>
  <si>
    <t>9704366810621285012</t>
  </si>
  <si>
    <t xml:space="preserve">PHAN TRAN KHANH          </t>
  </si>
  <si>
    <t xml:space="preserve">0511000437246      </t>
  </si>
  <si>
    <t>9704366810621739018</t>
  </si>
  <si>
    <t xml:space="preserve">DAU PHU CUONG            </t>
  </si>
  <si>
    <t xml:space="preserve">0511000437248      </t>
  </si>
  <si>
    <t>9704366810621824018</t>
  </si>
  <si>
    <t xml:space="preserve">LY THANH NHAN            </t>
  </si>
  <si>
    <t xml:space="preserve">0511000437250      </t>
  </si>
  <si>
    <t>9704366810621829017</t>
  </si>
  <si>
    <t xml:space="preserve">TRAN VAN LUONG           </t>
  </si>
  <si>
    <t xml:space="preserve">0511000437249      </t>
  </si>
  <si>
    <t>9704366810621850013</t>
  </si>
  <si>
    <t xml:space="preserve">MAI TRUNG NGHIA          </t>
  </si>
  <si>
    <t xml:space="preserve">0511000437251      </t>
  </si>
  <si>
    <t>9704366810622007019</t>
  </si>
  <si>
    <t xml:space="preserve">LE HAI DANG              </t>
  </si>
  <si>
    <t xml:space="preserve">0511000437252      </t>
  </si>
  <si>
    <t>9704366810622016010</t>
  </si>
  <si>
    <t xml:space="preserve">TU UY DANG               </t>
  </si>
  <si>
    <t xml:space="preserve">0511000437253      </t>
  </si>
  <si>
    <t>9704366810622024014</t>
  </si>
  <si>
    <t xml:space="preserve">NGUYEN NGOC ANH          </t>
  </si>
  <si>
    <t xml:space="preserve">0511000437254      </t>
  </si>
  <si>
    <t>9704366810622042016</t>
  </si>
  <si>
    <t xml:space="preserve">NGUYEN VAN HUAN          </t>
  </si>
  <si>
    <t xml:space="preserve">0511000437261      </t>
  </si>
  <si>
    <t>9704366810622045019</t>
  </si>
  <si>
    <t xml:space="preserve">NGUYEN ANH HUNG          </t>
  </si>
  <si>
    <t xml:space="preserve">0511000437262      </t>
  </si>
  <si>
    <t>9704366810622049011</t>
  </si>
  <si>
    <t xml:space="preserve">NGUYEN VAN DAT           </t>
  </si>
  <si>
    <t xml:space="preserve">0511000437263      </t>
  </si>
  <si>
    <t>9704366810622050019</t>
  </si>
  <si>
    <t xml:space="preserve">TRAN MANH HUNG           </t>
  </si>
  <si>
    <t xml:space="preserve">0511000437264      </t>
  </si>
  <si>
    <t>9704366810622054011</t>
  </si>
  <si>
    <t xml:space="preserve">NGUYEN KIM HUNG          </t>
  </si>
  <si>
    <t xml:space="preserve">0511000437265      </t>
  </si>
  <si>
    <t>9704366810622059010</t>
  </si>
  <si>
    <t xml:space="preserve">NGUYEN MANH HUNG         </t>
  </si>
  <si>
    <t xml:space="preserve">0511000437266      </t>
  </si>
  <si>
    <t>9704366810622062014</t>
  </si>
  <si>
    <t xml:space="preserve">PHAM VAN DUNG            </t>
  </si>
  <si>
    <t xml:space="preserve">0511000437267      </t>
  </si>
  <si>
    <t>9704366810622064010</t>
  </si>
  <si>
    <t xml:space="preserve">CAO QUOC HUNG            </t>
  </si>
  <si>
    <t xml:space="preserve">0511000437268      </t>
  </si>
  <si>
    <t>9704366810622066015</t>
  </si>
  <si>
    <t xml:space="preserve">DOAN VAN HUNG            </t>
  </si>
  <si>
    <t xml:space="preserve">0511000437270      </t>
  </si>
  <si>
    <t>9704366810622072013</t>
  </si>
  <si>
    <t xml:space="preserve">PHAM THE DUNG            </t>
  </si>
  <si>
    <t xml:space="preserve">0511000437271      </t>
  </si>
  <si>
    <t>9704366810623402011</t>
  </si>
  <si>
    <t xml:space="preserve">NGUYEN THANH DUNG        </t>
  </si>
  <si>
    <t xml:space="preserve">0511000437274      </t>
  </si>
  <si>
    <t>9704366810623440011</t>
  </si>
  <si>
    <t xml:space="preserve">NGUYEN HUU DUONG         </t>
  </si>
  <si>
    <t xml:space="preserve">0511000437277      </t>
  </si>
  <si>
    <t>9704366810623457015</t>
  </si>
  <si>
    <t xml:space="preserve">VU TRAN DUONG            </t>
  </si>
  <si>
    <t xml:space="preserve">0511000437278      </t>
  </si>
  <si>
    <t>9704366810623486014</t>
  </si>
  <si>
    <t xml:space="preserve">HOANG THE HA             </t>
  </si>
  <si>
    <t xml:space="preserve">0511000437279      </t>
  </si>
  <si>
    <t>9704366810623516018</t>
  </si>
  <si>
    <t xml:space="preserve">TRAN NAM HAI             </t>
  </si>
  <si>
    <t xml:space="preserve">0511000437280      </t>
  </si>
  <si>
    <t>9704366810623543012</t>
  </si>
  <si>
    <t xml:space="preserve">LE HONG HAI              </t>
  </si>
  <si>
    <t xml:space="preserve">0511000437281      </t>
  </si>
  <si>
    <t>9704366810623615018</t>
  </si>
  <si>
    <t xml:space="preserve">NGUYEN PHUOC HIEN        </t>
  </si>
  <si>
    <t xml:space="preserve">0511000437285      </t>
  </si>
  <si>
    <t>9704366810623904016</t>
  </si>
  <si>
    <t xml:space="preserve">LE VAN HIEN              </t>
  </si>
  <si>
    <t xml:space="preserve">0511000437287      </t>
  </si>
  <si>
    <t>9704366810623997010</t>
  </si>
  <si>
    <t xml:space="preserve">BUI QUANG HIEN           </t>
  </si>
  <si>
    <t xml:space="preserve">0511000437288      </t>
  </si>
  <si>
    <t>9704366810624082010</t>
  </si>
  <si>
    <t xml:space="preserve">LE TRUNG HIEU            </t>
  </si>
  <si>
    <t xml:space="preserve">0511000437291      </t>
  </si>
  <si>
    <t>9704366810625241011</t>
  </si>
  <si>
    <t xml:space="preserve">TRAN HOANG ANH HUY       </t>
  </si>
  <si>
    <t xml:space="preserve">0511000437305      </t>
  </si>
  <si>
    <t>9704366810625265010</t>
  </si>
  <si>
    <t xml:space="preserve">TRAN VAN HUYNH           </t>
  </si>
  <si>
    <t xml:space="preserve">0511000437307      </t>
  </si>
  <si>
    <t>9704366810625276017</t>
  </si>
  <si>
    <t xml:space="preserve">NGUYEN DANH KHANG        </t>
  </si>
  <si>
    <t xml:space="preserve">0511000437308      </t>
  </si>
  <si>
    <t>9704366810625296015</t>
  </si>
  <si>
    <t xml:space="preserve">LU KHANH                 </t>
  </si>
  <si>
    <t xml:space="preserve">0511000437310      </t>
  </si>
  <si>
    <t>9704366810625308018</t>
  </si>
  <si>
    <t xml:space="preserve">HA HUY KHUONG            </t>
  </si>
  <si>
    <t xml:space="preserve">0511000437311      </t>
  </si>
  <si>
    <t>9704366810625323017</t>
  </si>
  <si>
    <t xml:space="preserve">NGUYEN PHAT LOI          </t>
  </si>
  <si>
    <t xml:space="preserve">0511000437312      </t>
  </si>
  <si>
    <t>9704366810625331010</t>
  </si>
  <si>
    <t xml:space="preserve">NGUYEN HAI PHI LONG      </t>
  </si>
  <si>
    <t xml:space="preserve">0511000437314      </t>
  </si>
  <si>
    <t>9704366810625342017</t>
  </si>
  <si>
    <t xml:space="preserve">PHAN THANH LONG          </t>
  </si>
  <si>
    <t xml:space="preserve">0511000437315      </t>
  </si>
  <si>
    <t>9704366810625352016</t>
  </si>
  <si>
    <t xml:space="preserve">VU NHU LUAN              </t>
  </si>
  <si>
    <t xml:space="preserve">0511000437316      </t>
  </si>
  <si>
    <t>9704366810627425018</t>
  </si>
  <si>
    <t xml:space="preserve">TRAN VAN DUC             </t>
  </si>
  <si>
    <t xml:space="preserve">0511000437330      </t>
  </si>
  <si>
    <t>9704366810627450016</t>
  </si>
  <si>
    <t xml:space="preserve">VO VAN THU               </t>
  </si>
  <si>
    <t xml:space="preserve">0511000437331      </t>
  </si>
  <si>
    <t>9704366810629966019</t>
  </si>
  <si>
    <t xml:space="preserve">DO THANH SON             </t>
  </si>
  <si>
    <t xml:space="preserve">0511000437352      </t>
  </si>
  <si>
    <t>9704366810629976018</t>
  </si>
  <si>
    <t xml:space="preserve">PHAN SY TAI              </t>
  </si>
  <si>
    <t xml:space="preserve">0511000437353      </t>
  </si>
  <si>
    <t>9704366810629999010</t>
  </si>
  <si>
    <t xml:space="preserve">LE NGOC THAI             </t>
  </si>
  <si>
    <t xml:space="preserve">0511000437356      </t>
  </si>
  <si>
    <t>9704366810630015012</t>
  </si>
  <si>
    <t xml:space="preserve">PHAM VAN THANG           </t>
  </si>
  <si>
    <t xml:space="preserve">0511000437357      </t>
  </si>
  <si>
    <t>9704366810631049010</t>
  </si>
  <si>
    <t xml:space="preserve">NGUYEN QUOC TUAN         </t>
  </si>
  <si>
    <t xml:space="preserve">0511000437365      </t>
  </si>
  <si>
    <t>9704366810632093017</t>
  </si>
  <si>
    <t xml:space="preserve">VO KHAC TRUNG            </t>
  </si>
  <si>
    <t xml:space="preserve">0511000437371      </t>
  </si>
  <si>
    <t>9704366810632112015</t>
  </si>
  <si>
    <t xml:space="preserve">PHAM VAN TRUONG          </t>
  </si>
  <si>
    <t xml:space="preserve">0511000437372      </t>
  </si>
  <si>
    <t>9704366810632120018</t>
  </si>
  <si>
    <t xml:space="preserve">HUYNH XUAN TRUONG        </t>
  </si>
  <si>
    <t xml:space="preserve">0511000437373      </t>
  </si>
  <si>
    <t>9704366810632130017</t>
  </si>
  <si>
    <t xml:space="preserve">NGUYEN HUU TRUONG        </t>
  </si>
  <si>
    <t xml:space="preserve">0511000437374      </t>
  </si>
  <si>
    <t>9704366810632133011</t>
  </si>
  <si>
    <t xml:space="preserve">VU QUOC TRUONG           </t>
  </si>
  <si>
    <t xml:space="preserve">0511000437375      </t>
  </si>
  <si>
    <t>9704366810632140016</t>
  </si>
  <si>
    <t xml:space="preserve">NGUYEN MINH TUAN         </t>
  </si>
  <si>
    <t xml:space="preserve">0511000437376      </t>
  </si>
  <si>
    <t>9704366810632176010</t>
  </si>
  <si>
    <t xml:space="preserve">PHAM VAN VIET            </t>
  </si>
  <si>
    <t xml:space="preserve">0511000437377      </t>
  </si>
  <si>
    <t>9704366810632187017</t>
  </si>
  <si>
    <t xml:space="preserve">NGUYEN VAN SI            </t>
  </si>
  <si>
    <t xml:space="preserve">0511000437378      </t>
  </si>
  <si>
    <t>9704366810632197016</t>
  </si>
  <si>
    <t xml:space="preserve">DO THANH VAN             </t>
  </si>
  <si>
    <t xml:space="preserve">0511000437379      </t>
  </si>
  <si>
    <t>9704366810632202014</t>
  </si>
  <si>
    <t xml:space="preserve">LE HOANG VU              </t>
  </si>
  <si>
    <t xml:space="preserve">0511000437380      </t>
  </si>
  <si>
    <t>9704366810632211015</t>
  </si>
  <si>
    <t xml:space="preserve">TRUONG QUANG VUONG       </t>
  </si>
  <si>
    <t xml:space="preserve">0511000437381      </t>
  </si>
  <si>
    <t>9704366810632227011</t>
  </si>
  <si>
    <t xml:space="preserve">PHAM DUC LONG            </t>
  </si>
  <si>
    <t xml:space="preserve">0511000437383      </t>
  </si>
  <si>
    <t>9704366810632292023</t>
  </si>
  <si>
    <t xml:space="preserve">DO VIET VUONG            </t>
  </si>
  <si>
    <t xml:space="preserve">0511000437386      </t>
  </si>
  <si>
    <t>9704366810632301014</t>
  </si>
  <si>
    <t xml:space="preserve">PHAN VAN TUONG           </t>
  </si>
  <si>
    <t xml:space="preserve">0511000437387      </t>
  </si>
  <si>
    <t>9704366810642265019</t>
  </si>
  <si>
    <t xml:space="preserve">TRAN QUOC VAN            </t>
  </si>
  <si>
    <t xml:space="preserve">0511000437455      </t>
  </si>
  <si>
    <t>9704366801045652028</t>
  </si>
  <si>
    <t xml:space="preserve">NGUYEN PHUONG LAN        </t>
  </si>
  <si>
    <t xml:space="preserve">0071002335927      </t>
  </si>
  <si>
    <t xml:space="preserve">5264180000835173   </t>
  </si>
  <si>
    <t xml:space="preserve">5264180000058131   </t>
  </si>
  <si>
    <t xml:space="preserve">5264180000514364   </t>
  </si>
  <si>
    <t xml:space="preserve">PHAM NG DANG KHOA        </t>
  </si>
  <si>
    <t>361623433</t>
  </si>
  <si>
    <t>012434709</t>
  </si>
  <si>
    <t>273114600</t>
  </si>
  <si>
    <t>212662422</t>
  </si>
  <si>
    <t>183888391</t>
  </si>
  <si>
    <t>221241256</t>
  </si>
  <si>
    <t>194413407</t>
  </si>
  <si>
    <t>183234404</t>
  </si>
  <si>
    <t>281182732</t>
  </si>
  <si>
    <t>245179790</t>
  </si>
  <si>
    <t>145431880</t>
  </si>
  <si>
    <t>025783775</t>
  </si>
  <si>
    <t>385556636</t>
  </si>
  <si>
    <t>340838037</t>
  </si>
  <si>
    <t>162956031</t>
  </si>
  <si>
    <t>211689481</t>
  </si>
  <si>
    <t>186579258</t>
  </si>
  <si>
    <t>031866064</t>
  </si>
  <si>
    <t>182421198</t>
  </si>
  <si>
    <t>273393377</t>
  </si>
  <si>
    <t>182102774</t>
  </si>
  <si>
    <t>025578345</t>
  </si>
  <si>
    <t>186399138</t>
  </si>
  <si>
    <t>215072813</t>
  </si>
  <si>
    <t>025474800</t>
  </si>
  <si>
    <t>301062396</t>
  </si>
  <si>
    <t>281219088</t>
  </si>
  <si>
    <t>151448025</t>
  </si>
  <si>
    <t>025620732</t>
  </si>
  <si>
    <t>162977441</t>
  </si>
  <si>
    <t>221229729</t>
  </si>
  <si>
    <t>241160419</t>
  </si>
  <si>
    <t>025868092</t>
  </si>
  <si>
    <t>211475808</t>
  </si>
  <si>
    <t>031086000959</t>
  </si>
  <si>
    <t>031085001808</t>
  </si>
  <si>
    <t>026013748</t>
  </si>
  <si>
    <t>172038321</t>
  </si>
  <si>
    <t>022546483</t>
  </si>
  <si>
    <t>273638854</t>
  </si>
  <si>
    <t>034083002225</t>
  </si>
  <si>
    <t>142217138</t>
  </si>
  <si>
    <t>Ngoan</t>
  </si>
  <si>
    <t xml:space="preserve">Hoàng Văn </t>
  </si>
  <si>
    <t>Dương Thành</t>
  </si>
  <si>
    <t xml:space="preserve">Đào Trung </t>
  </si>
  <si>
    <t>Bùi Thanh</t>
  </si>
  <si>
    <t>An</t>
  </si>
  <si>
    <t>Bằng</t>
  </si>
  <si>
    <t>024864969</t>
  </si>
  <si>
    <t>031292938</t>
  </si>
  <si>
    <t>023036279</t>
  </si>
  <si>
    <t>025683281</t>
  </si>
  <si>
    <t>023552877</t>
  </si>
  <si>
    <t>031189000438</t>
  </si>
  <si>
    <t>0701033808203</t>
  </si>
  <si>
    <t>0381002483118</t>
  </si>
  <si>
    <t>0081000794629</t>
  </si>
  <si>
    <t>0031001106427</t>
  </si>
  <si>
    <t>0371000441588</t>
  </si>
  <si>
    <t>0111000250496</t>
  </si>
  <si>
    <t>0461000518406</t>
  </si>
  <si>
    <t>0721000579187</t>
  </si>
  <si>
    <t>0631003854570</t>
  </si>
  <si>
    <t>0111001469655</t>
  </si>
  <si>
    <t>0031000562297</t>
  </si>
  <si>
    <t>0031000240058</t>
  </si>
  <si>
    <t>0031000725974</t>
  </si>
  <si>
    <t>0971000001631</t>
  </si>
  <si>
    <t>0091003891251</t>
  </si>
  <si>
    <t>0071001043873</t>
  </si>
  <si>
    <t>0031000239950</t>
  </si>
  <si>
    <t>0531002214825</t>
  </si>
  <si>
    <t>0031000892401</t>
  </si>
  <si>
    <t>0071004565862</t>
  </si>
  <si>
    <t>0071001044950</t>
  </si>
  <si>
    <t>0361000265664</t>
  </si>
  <si>
    <t>0031000240528</t>
  </si>
  <si>
    <t>0071001044298</t>
  </si>
  <si>
    <t>0181003480896</t>
  </si>
  <si>
    <t>0331000452104</t>
  </si>
  <si>
    <t>0441000701284</t>
  </si>
  <si>
    <t>0531000280745</t>
  </si>
  <si>
    <t>0081001233913</t>
  </si>
  <si>
    <t>0031000167310</t>
  </si>
  <si>
    <t>0071004459939</t>
  </si>
  <si>
    <t>0441000701197</t>
  </si>
  <si>
    <t>0071000650290</t>
  </si>
  <si>
    <t>0071000645770</t>
  </si>
  <si>
    <t>0081000915517</t>
  </si>
  <si>
    <t>0741000629095</t>
  </si>
  <si>
    <t>0071001044617</t>
  </si>
  <si>
    <t>0071001258150</t>
  </si>
  <si>
    <t>0831000023279</t>
  </si>
  <si>
    <t>0501000094106</t>
  </si>
  <si>
    <t>0031000134112</t>
  </si>
  <si>
    <t>0311000666865</t>
  </si>
  <si>
    <t>0071001043481</t>
  </si>
  <si>
    <t>0031000792475</t>
  </si>
  <si>
    <t>0181003411639</t>
  </si>
  <si>
    <t>0181003459025</t>
  </si>
  <si>
    <t>0461000520638</t>
  </si>
  <si>
    <t>0751000023797</t>
  </si>
  <si>
    <t>0031000091191</t>
  </si>
  <si>
    <t>0911000002492</t>
  </si>
  <si>
    <t>0031000240155</t>
  </si>
  <si>
    <t>0811000021086</t>
  </si>
  <si>
    <t>0751000023790</t>
  </si>
  <si>
    <t>0031000711730</t>
  </si>
  <si>
    <t>0381000470386</t>
  </si>
  <si>
    <t>0071001878406</t>
  </si>
  <si>
    <t>0331000403151</t>
  </si>
  <si>
    <t>0031000151266</t>
  </si>
  <si>
    <t>0531002487934</t>
  </si>
  <si>
    <t>0071004763666</t>
  </si>
  <si>
    <t>0071004796505</t>
  </si>
  <si>
    <t>0531002520808</t>
  </si>
  <si>
    <t>0031000152437</t>
  </si>
  <si>
    <t>0181003480991</t>
  </si>
  <si>
    <t>0061001081473</t>
  </si>
  <si>
    <t>0051000528380</t>
  </si>
  <si>
    <t>0531002481850</t>
  </si>
  <si>
    <t>0061000953197</t>
  </si>
  <si>
    <t>0281000430363</t>
  </si>
  <si>
    <t>0181003433030</t>
  </si>
  <si>
    <t>0071001044113</t>
  </si>
  <si>
    <t>0031000920660</t>
  </si>
  <si>
    <t>0031000131012</t>
  </si>
  <si>
    <t>0531002276214</t>
  </si>
  <si>
    <t>0871004189099</t>
  </si>
  <si>
    <t>0631003754856</t>
  </si>
  <si>
    <t>0531002508877</t>
  </si>
  <si>
    <t>0181003472545</t>
  </si>
  <si>
    <t>0371003800750</t>
  </si>
  <si>
    <t>0071000739727</t>
  </si>
  <si>
    <t>0071001912920</t>
  </si>
  <si>
    <t>0071001038623</t>
  </si>
  <si>
    <t>0251001875901</t>
  </si>
  <si>
    <t>0071000719507</t>
  </si>
  <si>
    <t>0071002043238</t>
  </si>
  <si>
    <t>0071001036285</t>
  </si>
  <si>
    <t>0071001023903</t>
  </si>
  <si>
    <t>0531002494539</t>
  </si>
  <si>
    <t>0511000437162</t>
  </si>
  <si>
    <t>0071004519664</t>
  </si>
  <si>
    <t>0071000704150</t>
  </si>
  <si>
    <t>0071001043066</t>
  </si>
  <si>
    <t>0381000426672</t>
  </si>
  <si>
    <t>0071001040632</t>
  </si>
  <si>
    <t>0381000327574</t>
  </si>
  <si>
    <t>0181003354141</t>
  </si>
  <si>
    <t>0071001429185</t>
  </si>
  <si>
    <t>0181002121463</t>
  </si>
  <si>
    <t>0511000437197</t>
  </si>
  <si>
    <t>0071004107480</t>
  </si>
  <si>
    <t>0031000213330</t>
  </si>
  <si>
    <t>0181001906723</t>
  </si>
  <si>
    <t>0031000241542</t>
  </si>
  <si>
    <t>0241004070891</t>
  </si>
  <si>
    <t>0031000241481</t>
  </si>
  <si>
    <t>0501000095357</t>
  </si>
  <si>
    <t>0531000276961</t>
  </si>
  <si>
    <t>0031000246702</t>
  </si>
  <si>
    <t>0071001043142</t>
  </si>
  <si>
    <t>0071001050258</t>
  </si>
  <si>
    <t>0591000311598</t>
  </si>
  <si>
    <t>0581000610510</t>
  </si>
  <si>
    <t>0501000045593</t>
  </si>
  <si>
    <t>0511000436709</t>
  </si>
  <si>
    <t>Nguyễn Thanh Dũng</t>
  </si>
  <si>
    <t>Đinh Quốc Y</t>
  </si>
  <si>
    <t>Trần Viết Hòa</t>
  </si>
  <si>
    <t>Phan Văn Tường</t>
  </si>
  <si>
    <t>Phạm Văn Trường</t>
  </si>
  <si>
    <t>Ngô Lê Thắng</t>
  </si>
  <si>
    <t>Trần Đình Hưng</t>
  </si>
  <si>
    <t>Phạm Đức Long</t>
  </si>
  <si>
    <t>Phạm Thanh Dương</t>
  </si>
  <si>
    <t>Trương Văn Tấn</t>
  </si>
  <si>
    <t>Nguyễn Công Mẫn</t>
  </si>
  <si>
    <t>Nguyễn Toàn Quốc</t>
  </si>
  <si>
    <t>Trần Văn Độ</t>
  </si>
  <si>
    <t>Phạm Văn Dũng</t>
  </si>
  <si>
    <t>Đỗ Nguyên Bình</t>
  </si>
  <si>
    <t>Nguyễn Danh Khang</t>
  </si>
  <si>
    <t>Trần Văn Thức</t>
  </si>
  <si>
    <t>Lê Hải Đăng</t>
  </si>
  <si>
    <t>Phan Hữu Anh Khoa</t>
  </si>
  <si>
    <t>Bùi Gia Quang</t>
  </si>
  <si>
    <t>Nguyễn Công Bình</t>
  </si>
  <si>
    <t>Bùi Văn Tân</t>
  </si>
  <si>
    <t>Hồ Việt Trung</t>
  </si>
  <si>
    <t>Đỗ Kim Lâm</t>
  </si>
  <si>
    <t>Phạm Quốc Thiều</t>
  </si>
  <si>
    <t>Bùi Văn Phúc</t>
  </si>
  <si>
    <t>Lê Ngọc Cảnh</t>
  </si>
  <si>
    <t>Hoàng Bá Toán</t>
  </si>
  <si>
    <t>Nguyễn Huy Thắng</t>
  </si>
  <si>
    <t>Ngô Trung Thông</t>
  </si>
  <si>
    <t>Nguyễn Minh Phương</t>
  </si>
  <si>
    <t>Ngô Văn Phượng</t>
  </si>
  <si>
    <t>Đoàn Ngọc Lan</t>
  </si>
  <si>
    <t>Bùi Tiến Phương</t>
  </si>
  <si>
    <t>Từ Uy Đằng</t>
  </si>
  <si>
    <t>Nguyễn Hải Phi Long</t>
  </si>
  <si>
    <t>Nguyễn Mạnh Hùng</t>
  </si>
  <si>
    <t>Lại Thanh Hà</t>
  </si>
  <si>
    <t>Nguyễn Anh Hùng</t>
  </si>
  <si>
    <t>Vương Ngọc Sơn</t>
  </si>
  <si>
    <t>Nguyễn Thắng Trí</t>
  </si>
  <si>
    <t>Nguyễn Đức Huy</t>
  </si>
  <si>
    <t>Nguyễn Chí Bảo</t>
  </si>
  <si>
    <t>Đinh Xuân Thành</t>
  </si>
  <si>
    <t>Võ Duy Tân</t>
  </si>
  <si>
    <t>Hoàng Văn Dương</t>
  </si>
  <si>
    <t>Dương Văn Hoàn</t>
  </si>
  <si>
    <t>Thái Phong</t>
  </si>
  <si>
    <t>Nguyễn Hữu Dương</t>
  </si>
  <si>
    <t>Tạ Văn Phúc</t>
  </si>
  <si>
    <t>Lư Khánh</t>
  </si>
  <si>
    <t>Dương Bảo Thái</t>
  </si>
  <si>
    <t>Thái Văn Cường</t>
  </si>
  <si>
    <t>Đỗ Văn Thân</t>
  </si>
  <si>
    <t>Nguyễn Tiến Dũng(M)</t>
  </si>
  <si>
    <t>Nguyễn Văn Chiến</t>
  </si>
  <si>
    <t>Nguyễn Hùng Cường</t>
  </si>
  <si>
    <t>Bùi Văn Hòa</t>
  </si>
  <si>
    <t>Hoàng Văn Hùng</t>
  </si>
  <si>
    <t>Lê Hoàng Nghĩa</t>
  </si>
  <si>
    <t>Nguyễn Ngọc Anh</t>
  </si>
  <si>
    <t>Đồng Xuân Vũ</t>
  </si>
  <si>
    <t>Trần Minh Thiện</t>
  </si>
  <si>
    <t>Phạm Văn Thắng</t>
  </si>
  <si>
    <t>Nguyễn Đông Giang</t>
  </si>
  <si>
    <t>Nguyễn Văn Thức</t>
  </si>
  <si>
    <t>Nguyễn Ngọc Trình</t>
  </si>
  <si>
    <t>Trần Mạnh Hùng</t>
  </si>
  <si>
    <t>Bùi Văn Sỹ</t>
  </si>
  <si>
    <t>Nguyễn Văn Danh</t>
  </si>
  <si>
    <t>Trần Hùng Cường</t>
  </si>
  <si>
    <t>Nguyễn Ngọc Điền</t>
  </si>
  <si>
    <t>Vũ Như Luân</t>
  </si>
  <si>
    <t>Lê Trung Hiếu</t>
  </si>
  <si>
    <t>Hoàng Biệt Thự</t>
  </si>
  <si>
    <t>Đỗ Vinh Sơn</t>
  </si>
  <si>
    <t>Trần Văn Tiếng</t>
  </si>
  <si>
    <t>Nguyễn Xuân Chung</t>
  </si>
  <si>
    <t>Ngô Hồng Minh Hiệp</t>
  </si>
  <si>
    <t>Phạm Quốc Cường</t>
  </si>
  <si>
    <t>Nguyễn Tiến Dũng(B)</t>
  </si>
  <si>
    <t>Lê Việt Linh</t>
  </si>
  <si>
    <t>Nguyễn Minh Mẫn</t>
  </si>
  <si>
    <t>Nguyễn Văn Sĩ</t>
  </si>
  <si>
    <t>Nguyễn Tài Tân</t>
  </si>
  <si>
    <t>Châu Hoàng Nhân</t>
  </si>
  <si>
    <t>Trần Văn Thắng</t>
  </si>
  <si>
    <t>Trần Thanh Lưu</t>
  </si>
  <si>
    <t>Hoàng Thế Hà</t>
  </si>
  <si>
    <t>Đậu Phú Cường</t>
  </si>
  <si>
    <t>Vũ Tiến Anh</t>
  </si>
  <si>
    <t>Phạm Thế Dũng</t>
  </si>
  <si>
    <t>Hồ Nam Tân</t>
  </si>
  <si>
    <t>Nguyễn Minh Tuân</t>
  </si>
  <si>
    <t>Đỗ Thanh Vân</t>
  </si>
  <si>
    <t>Hồ Văn Năng</t>
  </si>
  <si>
    <t>Nguyễn Khắc Hoàng</t>
  </si>
  <si>
    <t>Trần Hoài Thanh</t>
  </si>
  <si>
    <t>Đào Trung Hiếu</t>
  </si>
  <si>
    <t>Trần Văn Tâm</t>
  </si>
  <si>
    <t>Nguyễn Viết Hường</t>
  </si>
  <si>
    <t>Vũ Hà Trung</t>
  </si>
  <si>
    <t>Trần Nam Hải</t>
  </si>
  <si>
    <t>Phạm Văn Cường</t>
  </si>
  <si>
    <t>Nguyễn Xuân Vinh</t>
  </si>
  <si>
    <t>Bùi Quang Hiển</t>
  </si>
  <si>
    <t>Dương Văn Cường</t>
  </si>
  <si>
    <t>Đặng Thái Thanh</t>
  </si>
  <si>
    <t>Nguyễn Vũ Sơn Ca</t>
  </si>
  <si>
    <t>Vũ Đức Việt</t>
  </si>
  <si>
    <t>Nguyễn Văn Nghĩa</t>
  </si>
  <si>
    <t>Ngô Văn Thới</t>
  </si>
  <si>
    <t>Lê Văn Hòa</t>
  </si>
  <si>
    <t>Nguyễn Viết Giang</t>
  </si>
  <si>
    <t>Nguyễn Văn Thủy</t>
  </si>
  <si>
    <t>Lê Văn Hiển</t>
  </si>
  <si>
    <t>Nguyễn Văn Đạt</t>
  </si>
  <si>
    <t>Phạm Trung Dũng</t>
  </si>
  <si>
    <t>Nguyễn Hữu Nhân</t>
  </si>
  <si>
    <t>Đoàn Quốc Đạt</t>
  </si>
  <si>
    <t>Lê Hoàng Vũ</t>
  </si>
  <si>
    <t>Bùi Văn Hải</t>
  </si>
  <si>
    <t>Đoàn Quý Thỏa</t>
  </si>
  <si>
    <t>Lê Công Thành</t>
  </si>
  <si>
    <t>Phan Thanh Dũng</t>
  </si>
  <si>
    <t>Trần Công Lý</t>
  </si>
  <si>
    <t>Nguyễn Hương Thanh Tâm</t>
  </si>
  <si>
    <t>Lê Thái Hoàng</t>
  </si>
  <si>
    <t>Cao Chí Cuối</t>
  </si>
  <si>
    <t>Huỳnh Xuân Tự</t>
  </si>
  <si>
    <t>Hầu Ngọc Tiến</t>
  </si>
  <si>
    <t>Nguyễn Hoàng Thống</t>
  </si>
  <si>
    <t>Vũ Quốc Trưởng</t>
  </si>
  <si>
    <t>Phạm Văn Việt</t>
  </si>
  <si>
    <t>Chu Văn Lộc</t>
  </si>
  <si>
    <t>Cao Văn Thành</t>
  </si>
  <si>
    <t>Lê Dương Hoàng</t>
  </si>
  <si>
    <t>Hoàng Thanh Vân</t>
  </si>
  <si>
    <t>Lương Công Huyên</t>
  </si>
  <si>
    <t>Cao Văn Phong</t>
  </si>
  <si>
    <t>Huỳnh Thanh Sang</t>
  </si>
  <si>
    <t>Nguyễn Thạc Dũng</t>
  </si>
  <si>
    <t>Phạm Văn Thanh</t>
  </si>
  <si>
    <t>Vũ Thái Hưng</t>
  </si>
  <si>
    <t>Nguyễn Văn Ánh</t>
  </si>
  <si>
    <t>Phan Sỹ Tài</t>
  </si>
  <si>
    <t>Lê Ngọc Thái</t>
  </si>
  <si>
    <t>Trần Hoàng Anh Huy</t>
  </si>
  <si>
    <t>Huỳnh Xuân Trường</t>
  </si>
  <si>
    <t>Phạm Đình Nhân</t>
  </si>
  <si>
    <t>Huỳnh Việt Hòa</t>
  </si>
  <si>
    <t>Nguyễn Kim Hùng</t>
  </si>
  <si>
    <t>Lê Hồng Hải</t>
  </si>
  <si>
    <t>Nguyễn Đức Hồng</t>
  </si>
  <si>
    <t>Đặng Nhất Linh</t>
  </si>
  <si>
    <t>Lê Trần Quốc Tuấn</t>
  </si>
  <si>
    <t>Võ Huy Dũng</t>
  </si>
  <si>
    <t>Nguyễn Hữu Hưng</t>
  </si>
  <si>
    <t>Phạm Hoài Thanh</t>
  </si>
  <si>
    <t>Trương Quang Vượng</t>
  </si>
  <si>
    <t>Lưu Văn Thắng</t>
  </si>
  <si>
    <t>Trương Minh Thắng</t>
  </si>
  <si>
    <t>Bùi Thái Sơn</t>
  </si>
  <si>
    <t>Đinh Xuân Long</t>
  </si>
  <si>
    <t>Lê Văn Công</t>
  </si>
  <si>
    <t>Phạm Thái Sơn</t>
  </si>
  <si>
    <t>Lê Thanh Nam</t>
  </si>
  <si>
    <t>Trần Ngọc Nhân</t>
  </si>
  <si>
    <t>Cao Văn Hoàn</t>
  </si>
  <si>
    <t>Ngô Đức Toàn</t>
  </si>
  <si>
    <t>Vũ Quang Nam</t>
  </si>
  <si>
    <t>Lê Đình Phúc</t>
  </si>
  <si>
    <t>Phạm Lương</t>
  </si>
  <si>
    <t>Bùi Trung Quân</t>
  </si>
  <si>
    <t>Đỗ Thanh Sơn</t>
  </si>
  <si>
    <t>Vũ Viết Nam</t>
  </si>
  <si>
    <t>Hồ Viết Hoàng</t>
  </si>
  <si>
    <t>Trần Văn Huỳnh</t>
  </si>
  <si>
    <t>Đậu Quang Hòa</t>
  </si>
  <si>
    <t>Trần Giải Phóng</t>
  </si>
  <si>
    <t>Nguyễn Hồng Ân</t>
  </si>
  <si>
    <t>Trần Huy Tiến</t>
  </si>
  <si>
    <t>Hà Huy Khương</t>
  </si>
  <si>
    <t>Phạm Văn Tâm</t>
  </si>
  <si>
    <t>Võ Đức Thịnh</t>
  </si>
  <si>
    <t>Nguyễn Văn Huân</t>
  </si>
  <si>
    <t>Lê Xuân Tuấn</t>
  </si>
  <si>
    <t>Nguyễn Ngọc Hoài</t>
  </si>
  <si>
    <t>Nguyễn Hữu Tiệp</t>
  </si>
  <si>
    <t>Nguyễn Viết Cần</t>
  </si>
  <si>
    <t>Trương Quốc Khánh</t>
  </si>
  <si>
    <t>Phạm Văn Khánh</t>
  </si>
  <si>
    <t>Nguyễn Phước Hiền</t>
  </si>
  <si>
    <t>Trần Huỳnh Quang Thắng</t>
  </si>
  <si>
    <t>Huỳnh Văn Tân</t>
  </si>
  <si>
    <t>Nguyễn Đức Thắng</t>
  </si>
  <si>
    <t>Lê Văn Ngọc</t>
  </si>
  <si>
    <t>Nguyễn Hoàng Thiện</t>
  </si>
  <si>
    <t>Nguyễn Phát Lợi</t>
  </si>
  <si>
    <t>Dương Phước Hậu</t>
  </si>
  <si>
    <t>Nguyễn Xuân Hào</t>
  </si>
  <si>
    <t>Lê Thừa Nhiệm</t>
  </si>
  <si>
    <t>Đinh Văn Thể</t>
  </si>
  <si>
    <t>Trần Trọng Tâm</t>
  </si>
  <si>
    <t>Nguyễn Hữu Nam</t>
  </si>
  <si>
    <t>Bùi Tất Ngọc</t>
  </si>
  <si>
    <t>Cao Quốc Hùng</t>
  </si>
  <si>
    <t>Đào Toàn Thắng</t>
  </si>
  <si>
    <t>Đinh Văn Chính</t>
  </si>
  <si>
    <t>Mai Huyền Ngọc</t>
  </si>
  <si>
    <t>Vũ Trần Dương</t>
  </si>
  <si>
    <t>Nguyễn Văn Học</t>
  </si>
  <si>
    <t>Đồng Duyên Phượng</t>
  </si>
  <si>
    <t>Trần Văn Nghĩa</t>
  </si>
  <si>
    <t>Phan Thành Long</t>
  </si>
  <si>
    <t>Lý Khởi Trí</t>
  </si>
  <si>
    <t>Phùng Nguyễn Thắng</t>
  </si>
  <si>
    <t>Nguyễn Đức Dũng</t>
  </si>
  <si>
    <t>Mai Xuân Trọng</t>
  </si>
  <si>
    <t>Trần Quốc Huy</t>
  </si>
  <si>
    <t>Lê Văn Thắng</t>
  </si>
  <si>
    <t>Nguyễn Văn Tỏa</t>
  </si>
  <si>
    <t>Đoàn Văn Hưng</t>
  </si>
  <si>
    <t>Nguyễn Văn Thanh</t>
  </si>
  <si>
    <t>Trần Văn Hiến</t>
  </si>
  <si>
    <t>Trần Hoàng Phong</t>
  </si>
  <si>
    <t>Trần Song Anh</t>
  </si>
  <si>
    <t>Bùi Xuân Nam</t>
  </si>
  <si>
    <t>Nguyễn Văn Sùng</t>
  </si>
  <si>
    <t>Lê Tuấn Anh</t>
  </si>
  <si>
    <t>Trương Văn Thuấn</t>
  </si>
  <si>
    <t>Mai Thái Tiến</t>
  </si>
  <si>
    <t>Đinh Duy Luận</t>
  </si>
  <si>
    <t>Trần Quang Quỳnh</t>
  </si>
  <si>
    <t>Đỗ Viết Vượng</t>
  </si>
  <si>
    <t>Phan Bá Bách</t>
  </si>
  <si>
    <t>Nguyễn Nhật Thịnh</t>
  </si>
  <si>
    <t>Trần Văn Lương</t>
  </si>
  <si>
    <t>Mai Văn Tùng</t>
  </si>
  <si>
    <t>Lê Hồng Sơn</t>
  </si>
  <si>
    <t>Hồ Văn Thiện</t>
  </si>
  <si>
    <t>Nguyễn Đình Thủy Tiên</t>
  </si>
  <si>
    <t>Võ Trọng Khoa</t>
  </si>
  <si>
    <t>Nguyễn Thanh Trúc</t>
  </si>
  <si>
    <t>Nguyễn Hoàng Sang</t>
  </si>
  <si>
    <t>Mai Trung Nghĩa</t>
  </si>
  <si>
    <t>Nguyễn Thị Phương Trinh</t>
  </si>
  <si>
    <t>Nguyễn Thị Thu Trang</t>
  </si>
  <si>
    <t>Hà Cát Linh</t>
  </si>
  <si>
    <t>Phạm Gia Bảo</t>
  </si>
  <si>
    <t>Nguyễn Thanh Phong</t>
  </si>
  <si>
    <t>Nguyễn Quốc Tuấn</t>
  </si>
  <si>
    <t>Trần Hữu Lợi</t>
  </si>
  <si>
    <t>Huỳnh Trường Sơn</t>
  </si>
  <si>
    <t>Nguyễn Thành Hưởng</t>
  </si>
  <si>
    <t>Phan Trần Khánh</t>
  </si>
  <si>
    <t>Ngô Văn Viết</t>
  </si>
  <si>
    <t>Đỗ Ngọc Mạnh</t>
  </si>
  <si>
    <t>Trương Đức Thịnh</t>
  </si>
  <si>
    <t>Lý Thanh Nhàn</t>
  </si>
  <si>
    <t>Trương Thị Mỹ Ý</t>
  </si>
  <si>
    <t>Phạm Quốc Huy</t>
  </si>
  <si>
    <t>Nguyễn Hữu Trường Thành</t>
  </si>
  <si>
    <t>Nguyễn Đoàn Gia</t>
  </si>
  <si>
    <t>Nguyễn Đình Hùng</t>
  </si>
  <si>
    <t>Ngô Thị Phương Thảo</t>
  </si>
  <si>
    <t>Lê Hải Anh</t>
  </si>
  <si>
    <t>Nguyễn Thị Huệ Linh</t>
  </si>
  <si>
    <t>Bùi Thị Thu Thảo</t>
  </si>
  <si>
    <t>Mai Cao Tuệ</t>
  </si>
  <si>
    <t>Nguyễn Phương Lan</t>
  </si>
  <si>
    <t>Nguyễn Bá Thắng</t>
  </si>
  <si>
    <t>Trần Quốc Văn</t>
  </si>
  <si>
    <t>Ngô Thị Thanh Thủy</t>
  </si>
  <si>
    <t>Lê Thị Như Vân</t>
  </si>
  <si>
    <t>Lê Hữu Sơn</t>
  </si>
  <si>
    <t>Lê Trí Dũng</t>
  </si>
  <si>
    <t>Trần Thị Thanh Huyền</t>
  </si>
  <si>
    <t>Nguyễn Quốc Cường</t>
  </si>
  <si>
    <t>Nguyễn Văn Minh</t>
  </si>
  <si>
    <t>Đinh Hữu Thế</t>
  </si>
  <si>
    <t>Nguyễn Ngọc Hằng</t>
  </si>
  <si>
    <t>Nguyễn Yến Nhi</t>
  </si>
  <si>
    <t>Võ Thị Thùy Trang</t>
  </si>
  <si>
    <t>Trần Minh Tuấn</t>
  </si>
  <si>
    <t>Đỗ Thanh Lâm</t>
  </si>
  <si>
    <t>Trần Quốc Cường</t>
  </si>
  <si>
    <t>Nguyễn Thị Thanh Thúy</t>
  </si>
  <si>
    <t>Nguyễn Thị Thu Hương</t>
  </si>
  <si>
    <t>Bùi Thị Thoa</t>
  </si>
  <si>
    <t>Võ Văn Thu</t>
  </si>
  <si>
    <t>Trần Văn Đức</t>
  </si>
  <si>
    <t>Phạm Nguyên Đăng Khoa</t>
  </si>
  <si>
    <t>Nguyễn Trí Phúc</t>
  </si>
  <si>
    <t>Nguyễn Kha Minh</t>
  </si>
  <si>
    <t>NGUYEN THANH DUNG</t>
  </si>
  <si>
    <t>DINH QUOC Y</t>
  </si>
  <si>
    <t>TRAN VIET HOA</t>
  </si>
  <si>
    <t>PHAN VAN TUONG</t>
  </si>
  <si>
    <t>PHAM VAN TRUONG</t>
  </si>
  <si>
    <t>NGO LE THANG</t>
  </si>
  <si>
    <t>TRAN DINH HUNG</t>
  </si>
  <si>
    <t>PHAM DUC LONG</t>
  </si>
  <si>
    <t>PHAM THANH DUONG</t>
  </si>
  <si>
    <t>TRUONG VAN TAN</t>
  </si>
  <si>
    <t>NGUYEN CONG MAN</t>
  </si>
  <si>
    <t>NGUYEN TOAN QUOC</t>
  </si>
  <si>
    <t>TRAN VAN DO</t>
  </si>
  <si>
    <t>PHAM VAN DUNG</t>
  </si>
  <si>
    <t>DO NGUYEN BINH</t>
  </si>
  <si>
    <t>NGUYEN DANH KHANG</t>
  </si>
  <si>
    <t>TRAN VAN THUC</t>
  </si>
  <si>
    <t>LE HAI DANG</t>
  </si>
  <si>
    <t>PHAN HUU ANH KHOA</t>
  </si>
  <si>
    <t>BUI GIA QUANG</t>
  </si>
  <si>
    <t>NGUYEN CONG BINH</t>
  </si>
  <si>
    <t>BUI VAN TAN</t>
  </si>
  <si>
    <t>HO VIET TRUNG</t>
  </si>
  <si>
    <t>DO KIM LAM</t>
  </si>
  <si>
    <t>PHAM QUOC THIEU</t>
  </si>
  <si>
    <t>BUI VAN PHUC</t>
  </si>
  <si>
    <t>LE NGOC CANH</t>
  </si>
  <si>
    <t>HOANG BA TOAN</t>
  </si>
  <si>
    <t>NGUYEN HUY THANG</t>
  </si>
  <si>
    <t>NGO TRUNG THONG</t>
  </si>
  <si>
    <t>NGUYEN MINH PHUONG</t>
  </si>
  <si>
    <t>NGO VAN PHUONG</t>
  </si>
  <si>
    <t>DOAN NGOC LAN</t>
  </si>
  <si>
    <t>BUI TIEN PHUONG</t>
  </si>
  <si>
    <t>TU UY DANG</t>
  </si>
  <si>
    <t>NGUYEN HAI PHI LONG</t>
  </si>
  <si>
    <t>NGUYEN MANH HUNG</t>
  </si>
  <si>
    <t>LAI THANH HA</t>
  </si>
  <si>
    <t>NGUYEN ANH HUNG</t>
  </si>
  <si>
    <t>VUONG NGOC SON</t>
  </si>
  <si>
    <t>NGUYEN THANG TRI</t>
  </si>
  <si>
    <t>NGUYEN DUC HUY</t>
  </si>
  <si>
    <t>NGUYEN CHI BAO</t>
  </si>
  <si>
    <t>DINH XUAN THANH</t>
  </si>
  <si>
    <t>VO DUY TAN</t>
  </si>
  <si>
    <t>HOANG VAN DUONG</t>
  </si>
  <si>
    <t>DUONG VAN HOAN</t>
  </si>
  <si>
    <t>THAI PHONG</t>
  </si>
  <si>
    <t>NGUYEN HUU DUONG</t>
  </si>
  <si>
    <t>TA VAN PHUC</t>
  </si>
  <si>
    <t>LU KHANH</t>
  </si>
  <si>
    <t>DUONG BAO THAI</t>
  </si>
  <si>
    <t>THAI VAN CUONG</t>
  </si>
  <si>
    <t>DO VAN THAN</t>
  </si>
  <si>
    <t>NGUYEN TIEN DUNG(M)</t>
  </si>
  <si>
    <t>NGUYEN VAN CHIEN</t>
  </si>
  <si>
    <t>NGUYEN HUNG CUONG</t>
  </si>
  <si>
    <t>BUI VAN HOA</t>
  </si>
  <si>
    <t>HOANG VAN HUNG</t>
  </si>
  <si>
    <t>LE HOANG NGHIA</t>
  </si>
  <si>
    <t>NGUYEN NGOC ANH</t>
  </si>
  <si>
    <t>DONG XUAN VU</t>
  </si>
  <si>
    <t>TRAN MINH THIEN</t>
  </si>
  <si>
    <t>PHAM VAN THANG</t>
  </si>
  <si>
    <t>NGUYEN DONG GIANG</t>
  </si>
  <si>
    <t>NGUYEN VAN THUC</t>
  </si>
  <si>
    <t>NGUYEN NGOC TRINH</t>
  </si>
  <si>
    <t>TRAN MANH HUNG</t>
  </si>
  <si>
    <t>BUI VAN SY</t>
  </si>
  <si>
    <t>NGUYEN VAN DANH</t>
  </si>
  <si>
    <t>TRAN HUNG CUONG</t>
  </si>
  <si>
    <t>NGUYEN NGOC DIEN</t>
  </si>
  <si>
    <t>VU NHU LUAN</t>
  </si>
  <si>
    <t>LE TRUNG HIEU</t>
  </si>
  <si>
    <t>HOANG BIET THU</t>
  </si>
  <si>
    <t>DO VINH SON</t>
  </si>
  <si>
    <t>TRAN VAN TIENG</t>
  </si>
  <si>
    <t>NGUYEN XUAN CHUNG</t>
  </si>
  <si>
    <t>NGO HONG MINH HIEP</t>
  </si>
  <si>
    <t>PHAM QUOC CUONG</t>
  </si>
  <si>
    <t>NGUYEN TIEN DUNG(B)</t>
  </si>
  <si>
    <t>LE VIET LINH</t>
  </si>
  <si>
    <t>NGUYEN MINH MAN</t>
  </si>
  <si>
    <t>NGUYEN VAN SI</t>
  </si>
  <si>
    <t>NGUYEN TAI TAN</t>
  </si>
  <si>
    <t>CHAU HOANG NHAN</t>
  </si>
  <si>
    <t>TRAN VAN THANG</t>
  </si>
  <si>
    <t>TRAN THANH LUU</t>
  </si>
  <si>
    <t>HOANG THE HA</t>
  </si>
  <si>
    <t>DAU PHU CUONG</t>
  </si>
  <si>
    <t>VU TIEN ANH</t>
  </si>
  <si>
    <t>PHAM THE DUNG</t>
  </si>
  <si>
    <t>HO NAM TAN</t>
  </si>
  <si>
    <t>NGUYEN MINH TUAN</t>
  </si>
  <si>
    <t>DO THANH VAN</t>
  </si>
  <si>
    <t>HO VAN NANG</t>
  </si>
  <si>
    <t>NGUYEN KHAC HOANG</t>
  </si>
  <si>
    <t>TRAN HOAI THANH</t>
  </si>
  <si>
    <t>DAO TRUNG HIEU</t>
  </si>
  <si>
    <t>TRAN VAN TAM</t>
  </si>
  <si>
    <t>NGUYEN VIET HUONG</t>
  </si>
  <si>
    <t>VU HA TRUNG</t>
  </si>
  <si>
    <t>TRAN NAM HAI</t>
  </si>
  <si>
    <t>PHAM VAN CUONG</t>
  </si>
  <si>
    <t>NGUYEN XUAN VINH</t>
  </si>
  <si>
    <t>BUI QUANG HIEN</t>
  </si>
  <si>
    <t>DUONG VAN CUONG</t>
  </si>
  <si>
    <t>DANG THAI THANH</t>
  </si>
  <si>
    <t>NGUYEN VU SON CA</t>
  </si>
  <si>
    <t>VU DUC VIET</t>
  </si>
  <si>
    <t>NGUYEN VAN NGHIA</t>
  </si>
  <si>
    <t>NGO VAN THOI</t>
  </si>
  <si>
    <t>LE VAN HOA</t>
  </si>
  <si>
    <t>NGUYEN VIET GIANG</t>
  </si>
  <si>
    <t>NGUYEN VAN THUY</t>
  </si>
  <si>
    <t>LE VAN HIEN</t>
  </si>
  <si>
    <t>NGUYEN VAN DAT</t>
  </si>
  <si>
    <t>PHAM TRUNG DUNG</t>
  </si>
  <si>
    <t>NGUYEN HUU NHAN</t>
  </si>
  <si>
    <t>DOAN QUOC DAT</t>
  </si>
  <si>
    <t>LE HOANG VU</t>
  </si>
  <si>
    <t>BUI VAN HAI</t>
  </si>
  <si>
    <t>DOAN QUY THOA</t>
  </si>
  <si>
    <t>LE CONG THANH</t>
  </si>
  <si>
    <t>PHAN THANH DUNG</t>
  </si>
  <si>
    <t>TRAN CONG LY</t>
  </si>
  <si>
    <t>NGUYEN HUONG THANH TAM</t>
  </si>
  <si>
    <t>LE THAI HOANG</t>
  </si>
  <si>
    <t>CAO CHI CUOI</t>
  </si>
  <si>
    <t>HUYNH XUAN TU</t>
  </si>
  <si>
    <t>HAU NGOC TIEN</t>
  </si>
  <si>
    <t>NGUYEN HOANG THONG</t>
  </si>
  <si>
    <t>VU QUOC TRUONG</t>
  </si>
  <si>
    <t>PHAM VAN VIET</t>
  </si>
  <si>
    <t>CHU VAN LOC</t>
  </si>
  <si>
    <t>CAO VAN THANH</t>
  </si>
  <si>
    <t>LE DUONG HOANG</t>
  </si>
  <si>
    <t>HOANG THANH VAN</t>
  </si>
  <si>
    <t>LUONG CONG HUYEN</t>
  </si>
  <si>
    <t>CAO VAN PHONG</t>
  </si>
  <si>
    <t>HUYNH THANH SANG</t>
  </si>
  <si>
    <t>NGUYEN THAC DUNG</t>
  </si>
  <si>
    <t>PHAM VAN THANH</t>
  </si>
  <si>
    <t>VU THAI HUNG</t>
  </si>
  <si>
    <t>NGUYEN VAN ANH</t>
  </si>
  <si>
    <t>PHAN SY TAI</t>
  </si>
  <si>
    <t>LE NGOC THAI</t>
  </si>
  <si>
    <t>TRAN HOANG ANH HUY</t>
  </si>
  <si>
    <t>HUYNH XUAN TRUONG</t>
  </si>
  <si>
    <t>PHAM DINH NHAN</t>
  </si>
  <si>
    <t>HUYNH VIET HOA</t>
  </si>
  <si>
    <t>NGUYEN KIM HUNG</t>
  </si>
  <si>
    <t>LE HONG HAI</t>
  </si>
  <si>
    <t>NGUYEN DUC HONG</t>
  </si>
  <si>
    <t>DANG NHAT LINH</t>
  </si>
  <si>
    <t>LE TRAN QUOC TUAN</t>
  </si>
  <si>
    <t>VO HUY DUNG</t>
  </si>
  <si>
    <t>NGUYEN HUU HUNG</t>
  </si>
  <si>
    <t>PHAM HOAI THANH</t>
  </si>
  <si>
    <t>TRUONG QUANG VUONG</t>
  </si>
  <si>
    <t>LUU VAN THANG</t>
  </si>
  <si>
    <t>NGUYEN HUU TRUONG</t>
  </si>
  <si>
    <t>TRUONG MINH THANG</t>
  </si>
  <si>
    <t>BUI THAI SON</t>
  </si>
  <si>
    <t>DINH XUAN LONG</t>
  </si>
  <si>
    <t>LE VAN CONG</t>
  </si>
  <si>
    <t>PHAM THAI SON</t>
  </si>
  <si>
    <t>LE THANH NAM</t>
  </si>
  <si>
    <t>TRAN NGOC NHAN</t>
  </si>
  <si>
    <t>CAO VAN HOAN</t>
  </si>
  <si>
    <t>NGO DUC TOAN</t>
  </si>
  <si>
    <t>VU QUANG NAM</t>
  </si>
  <si>
    <t>LE DINH PHUC</t>
  </si>
  <si>
    <t>PHAM LUONG</t>
  </si>
  <si>
    <t>BUI TRUNG QUAN</t>
  </si>
  <si>
    <t>DO THANH SON</t>
  </si>
  <si>
    <t>VU VIET NAM</t>
  </si>
  <si>
    <t>HO VIET HOANG</t>
  </si>
  <si>
    <t>TRAN VAN HUYNH</t>
  </si>
  <si>
    <t>DAU QUANG HOA</t>
  </si>
  <si>
    <t>TRAN GIAI PHONG</t>
  </si>
  <si>
    <t>NGUYEN HONG AN</t>
  </si>
  <si>
    <t>TRAN HUY TIEN</t>
  </si>
  <si>
    <t>HA HUY KHUONG</t>
  </si>
  <si>
    <t>PHAM VAN TAM</t>
  </si>
  <si>
    <t>VO DUC THINH</t>
  </si>
  <si>
    <t>NGUYEN VAN HUAN</t>
  </si>
  <si>
    <t>LE XUAN TUAN</t>
  </si>
  <si>
    <t>NGUYEN NGOC HOAI</t>
  </si>
  <si>
    <t>NGUYEN HUU TIEP</t>
  </si>
  <si>
    <t>NGUYEN VIET CAN</t>
  </si>
  <si>
    <t>TRUONG QUOC KHANH</t>
  </si>
  <si>
    <t>PHAM VAN KHANH</t>
  </si>
  <si>
    <t>NGUYEN PHUOC HIEN</t>
  </si>
  <si>
    <t>TRAN HUYNH QUANG THANG</t>
  </si>
  <si>
    <t>HUYNH VAN TAN</t>
  </si>
  <si>
    <t>NGUYEN DUC THANG</t>
  </si>
  <si>
    <t>LE VAN NGOC</t>
  </si>
  <si>
    <t>NGUYEN HOANG THIEN</t>
  </si>
  <si>
    <t>NGUYEN PHAT LOI</t>
  </si>
  <si>
    <t>DUONG PHUOC HAU</t>
  </si>
  <si>
    <t>NGUYEN XUAN HAO</t>
  </si>
  <si>
    <t>LE THUA NHIEM</t>
  </si>
  <si>
    <t>DINH VAN THE</t>
  </si>
  <si>
    <t>TRAN TRONG TAM</t>
  </si>
  <si>
    <t>NGUYEN HUU NAM</t>
  </si>
  <si>
    <t>BUI TAT NGOC</t>
  </si>
  <si>
    <t>CAO QUOC HUNG</t>
  </si>
  <si>
    <t>DAO TOAN THANG</t>
  </si>
  <si>
    <t>DINH VAN CHINH</t>
  </si>
  <si>
    <t>MAI HUYEN NGOC</t>
  </si>
  <si>
    <t>VU TRAN DUONG</t>
  </si>
  <si>
    <t>NGUYEN VAN HOC</t>
  </si>
  <si>
    <t>DONG DUYEN PHUONG</t>
  </si>
  <si>
    <t>TRAN VAN NGHIA</t>
  </si>
  <si>
    <t>PHAN THANH LONG</t>
  </si>
  <si>
    <t>LY KHOI TRI</t>
  </si>
  <si>
    <t>PHUNG NGUYEN THANG</t>
  </si>
  <si>
    <t>NGUYEN DUC DUNG</t>
  </si>
  <si>
    <t>MAI XUAN TRONG</t>
  </si>
  <si>
    <t>TRAN QUOC HUY</t>
  </si>
  <si>
    <t>LE VAN THANG</t>
  </si>
  <si>
    <t>NGUYEN VAN TOA</t>
  </si>
  <si>
    <t>DOAN VAN HUNG</t>
  </si>
  <si>
    <t>NGUYEN VAN THANH</t>
  </si>
  <si>
    <t>TRAN VAN HIEN</t>
  </si>
  <si>
    <t>TRAN HOANG PHONG</t>
  </si>
  <si>
    <t>TRAN SONG ANH</t>
  </si>
  <si>
    <t>BUI XUAN NAM</t>
  </si>
  <si>
    <t>NGUYEN VAN SUNG</t>
  </si>
  <si>
    <t>LE TUAN ANH</t>
  </si>
  <si>
    <t>TRUONG VAN THUAN</t>
  </si>
  <si>
    <t>MAI THAI TIEN</t>
  </si>
  <si>
    <t>DINH DUY LUAN</t>
  </si>
  <si>
    <t>TRAN QUANG QUYNH</t>
  </si>
  <si>
    <t>DO VIET VUONG</t>
  </si>
  <si>
    <t>PHAN BA BACH</t>
  </si>
  <si>
    <t>NGUYEN NHAT THINH</t>
  </si>
  <si>
    <t>TRAN VAN LUONG</t>
  </si>
  <si>
    <t>MAI VAN TUNG</t>
  </si>
  <si>
    <t>LE HONG SON</t>
  </si>
  <si>
    <t>HO VAN THIEN</t>
  </si>
  <si>
    <t>NGUYEN DINH THUY TIEN</t>
  </si>
  <si>
    <t>VO TRONG KHOA</t>
  </si>
  <si>
    <t>NGUYEN THANH TRUC</t>
  </si>
  <si>
    <t>NGUYEN HOANG SANG</t>
  </si>
  <si>
    <t>MAI TRUNG NGHIA</t>
  </si>
  <si>
    <t>NGUYEN THI PHUONG TRINH</t>
  </si>
  <si>
    <t>NGUYEN THI THU TRANG</t>
  </si>
  <si>
    <t>HA CAT LINH</t>
  </si>
  <si>
    <t>PHAM GIA BAO</t>
  </si>
  <si>
    <t>NGUYEN THANH PHONG</t>
  </si>
  <si>
    <t>NGUYEN QUOC TUAN</t>
  </si>
  <si>
    <t>TRAN HUU LOI</t>
  </si>
  <si>
    <t>HUYNH TRUONG SON</t>
  </si>
  <si>
    <t>NGUYEN THANH HUONG</t>
  </si>
  <si>
    <t>PHAN TRAN KHANH</t>
  </si>
  <si>
    <t>NGO VAN VIET</t>
  </si>
  <si>
    <t>DO NGOC MANH</t>
  </si>
  <si>
    <t>TRUONG DUC THINH</t>
  </si>
  <si>
    <t>LY THANH NHAN</t>
  </si>
  <si>
    <t>TRUONG THI MY Y</t>
  </si>
  <si>
    <t>PHAM QUOC HUY</t>
  </si>
  <si>
    <t>NGUYEN HUU TRUONG THANH</t>
  </si>
  <si>
    <t>NGUYEN DOAN GIA</t>
  </si>
  <si>
    <t>NGUYEN DINH HUNG</t>
  </si>
  <si>
    <t>NGO THI PHUONG THAO</t>
  </si>
  <si>
    <t>LE HAI ANH</t>
  </si>
  <si>
    <t>NGUYEN THI HUE LINH</t>
  </si>
  <si>
    <t>BUI THI THU THAO</t>
  </si>
  <si>
    <t>MAI CAO TUE</t>
  </si>
  <si>
    <t>NGUYEN PHUONG LAN</t>
  </si>
  <si>
    <t>NGUYEN BA THANG</t>
  </si>
  <si>
    <t>TRAN QUOC VAN</t>
  </si>
  <si>
    <t>NGO THI THANH THUY</t>
  </si>
  <si>
    <t>LE THI NHU VAN</t>
  </si>
  <si>
    <t>TRAN THAI NGUYEN</t>
  </si>
  <si>
    <t>LE HUU SON</t>
  </si>
  <si>
    <t>LE TRI DUNG</t>
  </si>
  <si>
    <t>TRAN THI THANH HUYEN</t>
  </si>
  <si>
    <t>NGUYEN QUOC CUONG</t>
  </si>
  <si>
    <t>NGUYEN VAN MINH</t>
  </si>
  <si>
    <t>DINH HUU THE</t>
  </si>
  <si>
    <t>NGUYEN NGOC HANG</t>
  </si>
  <si>
    <t>NGUYEN YEN NHI</t>
  </si>
  <si>
    <t>VO THI THUY TRANG</t>
  </si>
  <si>
    <t>TRAN MINH TUAN</t>
  </si>
  <si>
    <t>DO THANH LAM</t>
  </si>
  <si>
    <t>TRAN QUOC CUONG</t>
  </si>
  <si>
    <t>NGUYEN THI THANH THUY</t>
  </si>
  <si>
    <t>NGUYEN THI THU HUONG</t>
  </si>
  <si>
    <t>BUI THI THOA</t>
  </si>
  <si>
    <t>VO VAN THU</t>
  </si>
  <si>
    <t>TRAN VAN DUC</t>
  </si>
  <si>
    <t>PHAM NGUYEN DANG KHOA</t>
  </si>
  <si>
    <t>NGUYEN TRI PHUC</t>
  </si>
  <si>
    <t>NGUYEN KHA MINH</t>
  </si>
  <si>
    <t>Kiều Tuấn</t>
  </si>
  <si>
    <t>0181003352413</t>
  </si>
  <si>
    <t>Máy 2 kiêm T/T Máy trưởng</t>
  </si>
  <si>
    <t>0071001495983</t>
  </si>
  <si>
    <t>0531002512152</t>
  </si>
  <si>
    <t>Hà Đức</t>
  </si>
  <si>
    <t>Phan Kim</t>
  </si>
  <si>
    <t>T. Máy kiêm 
T/T Máy 4</t>
  </si>
  <si>
    <t>0031000974307</t>
  </si>
  <si>
    <t>Tài</t>
  </si>
  <si>
    <t>Thủy thủ kiêm
 T/T TP3</t>
  </si>
  <si>
    <t>BẢNG LƯƠNG TÀU AULAC FORTUNE</t>
  </si>
  <si>
    <t>Áp dụng Nghị định số : 122/2015/NĐ - CP ngày 14/11/2015 : Điều chỉnh mức lương tối thiểu</t>
  </si>
  <si>
    <t>CÁC KHOẢN KHẤU TRỪ TRONG THÁNG</t>
  </si>
  <si>
    <t>BẢNG LƯƠNG TÀU AULAC BELLA</t>
  </si>
  <si>
    <t>(Từ ngày 25/09/2016 đến ngày 27/09/2016)</t>
  </si>
  <si>
    <t>TpHCM, Ngày 27 tháng  09  năm  2016</t>
  </si>
  <si>
    <t>THU NHẬP 
từ 25 đến 27/09/2016</t>
  </si>
  <si>
    <t>Vũ Thái</t>
  </si>
  <si>
    <t xml:space="preserve">Bùi Tiến </t>
  </si>
  <si>
    <t>Trương Quang</t>
  </si>
  <si>
    <t>Phan Sỹ</t>
  </si>
  <si>
    <t xml:space="preserve">Mai Xuân </t>
  </si>
  <si>
    <t>Trọng</t>
  </si>
  <si>
    <t>Máy 2 kiêm
 T/T M.Trưởng</t>
  </si>
  <si>
    <t>Trần Huỳnh Quang</t>
  </si>
  <si>
    <t>Đại Phó kiêm T/T Th.trưởng</t>
  </si>
  <si>
    <t xml:space="preserve">Nguyễn Toàn </t>
  </si>
  <si>
    <t xml:space="preserve">Tạ Văn </t>
  </si>
  <si>
    <t>Nguyễn Khắc</t>
  </si>
  <si>
    <t>Thợ máy kiêm
 T/T Máy 4</t>
  </si>
  <si>
    <t>Nguyễn Phát</t>
  </si>
  <si>
    <t>Đào Vĩnh</t>
  </si>
  <si>
    <t xml:space="preserve">Lương Công </t>
  </si>
  <si>
    <t xml:space="preserve">Lê Thừa </t>
  </si>
  <si>
    <t xml:space="preserve"> Thuyền phó 2 đảm nhận chức danh Thuyền phó 3</t>
  </si>
  <si>
    <t>THU NHẬP 
THỎA THUẬN</t>
  </si>
  <si>
    <t>THU NHẬP TRONG THÁNG</t>
  </si>
  <si>
    <t>THU NHẬP CHỊU THUẾ</t>
  </si>
  <si>
    <t>Lương theo
 chức danh</t>
  </si>
  <si>
    <t>THÁNG 07/2017 (áp dụng Nghị định số : 153/2016/NĐ - CP ngày 14/11/2016 : Điều chỉnh mức lương tối thiểu)</t>
  </si>
  <si>
    <t>THÁNG 07 năm 2017</t>
  </si>
  <si>
    <t>SỐ TK VCB</t>
  </si>
  <si>
    <t>PHÒNG
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</si>
</sst>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7" x14ac:knownFonts="1">
    <font>
      <sz val="10"/>
      <name val="Arial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theme="1"/>
      <name val="Times New Roman"/>
      <family val="1"/>
    </font>
    <font>
      <i/>
      <sz val="10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sz val="14"/>
      <color theme="1"/>
      <name val="Times New Roman"/>
      <family val="1"/>
    </font>
    <font>
      <b/>
      <i/>
      <sz val="12"/>
      <color theme="1"/>
      <name val="Times New Roman"/>
      <family val="1"/>
    </font>
    <font>
      <sz val="8"/>
      <color theme="1"/>
      <name val="Times New Roman"/>
      <family val="1"/>
    </font>
    <font>
      <sz val="10"/>
      <color theme="1"/>
      <name val="Arial"/>
      <family val="2"/>
    </font>
    <font>
      <sz val="10"/>
      <color rgb="FFFF0000"/>
      <name val="Times New Roman"/>
      <family val="1"/>
    </font>
    <font>
      <sz val="10"/>
      <name val="Times New Roman"/>
      <family val="1"/>
    </font>
    <font>
      <sz val="9"/>
      <name val="Times New Roman"/>
      <family val="1"/>
    </font>
    <font>
      <b/>
      <sz val="10"/>
      <color rgb="FFFF0000"/>
      <name val="Times New Roman"/>
      <family val="1"/>
    </font>
    <font>
      <sz val="9"/>
      <color rgb="FFFF0000"/>
      <name val="Times New Roman"/>
      <family val="1"/>
    </font>
    <font>
      <sz val="10"/>
      <name val="Arial"/>
      <family val="2"/>
    </font>
    <font>
      <i/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ashDotDot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36">
    <xf numFmtId="0" fontId="0" fillId="0" borderId="0" xfId="0"/>
    <xf numFmtId="0" fontId="4" fillId="2" borderId="1" xfId="0" quotePrefix="1" applyFont="1" applyFill="1" applyBorder="1" applyAlignment="1">
      <alignment horizontal="center" vertical="center"/>
    </xf>
    <xf numFmtId="0" fontId="4" fillId="2" borderId="2" xfId="0" quotePrefix="1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quotePrefix="1" applyFont="1" applyBorder="1" applyAlignment="1">
      <alignment horizontal="left" vertical="center"/>
    </xf>
    <xf numFmtId="164" fontId="4" fillId="0" borderId="1" xfId="1" applyNumberFormat="1" applyFont="1" applyBorder="1" applyAlignment="1">
      <alignment vertical="center"/>
    </xf>
    <xf numFmtId="4" fontId="4" fillId="0" borderId="4" xfId="1" applyNumberFormat="1" applyFont="1" applyBorder="1" applyAlignment="1">
      <alignment vertical="center"/>
    </xf>
    <xf numFmtId="164" fontId="4" fillId="0" borderId="4" xfId="1" applyNumberFormat="1" applyFont="1" applyBorder="1" applyAlignment="1">
      <alignment vertical="center"/>
    </xf>
    <xf numFmtId="164" fontId="5" fillId="0" borderId="1" xfId="1" applyNumberFormat="1" applyFont="1" applyBorder="1" applyAlignment="1">
      <alignment vertical="center"/>
    </xf>
    <xf numFmtId="0" fontId="4" fillId="0" borderId="0" xfId="0" quotePrefix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vertical="center"/>
    </xf>
    <xf numFmtId="49" fontId="4" fillId="2" borderId="1" xfId="0" quotePrefix="1" applyNumberFormat="1" applyFont="1" applyFill="1" applyBorder="1" applyAlignment="1">
      <alignment horizontal="left" vertical="center"/>
    </xf>
    <xf numFmtId="4" fontId="4" fillId="0" borderId="1" xfId="1" applyNumberFormat="1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3" xfId="0" applyFont="1" applyFill="1" applyBorder="1" applyAlignment="1">
      <alignment horizontal="left" vertical="center"/>
    </xf>
    <xf numFmtId="4" fontId="4" fillId="2" borderId="1" xfId="1" applyNumberFormat="1" applyFont="1" applyFill="1" applyBorder="1" applyAlignment="1">
      <alignment vertical="center"/>
    </xf>
    <xf numFmtId="164" fontId="4" fillId="2" borderId="1" xfId="1" applyNumberFormat="1" applyFont="1" applyFill="1" applyBorder="1" applyAlignment="1">
      <alignment vertical="center"/>
    </xf>
    <xf numFmtId="164" fontId="6" fillId="0" borderId="1" xfId="1" applyNumberFormat="1" applyFont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left" vertical="center"/>
    </xf>
    <xf numFmtId="0" fontId="4" fillId="0" borderId="0" xfId="0" quotePrefix="1" applyFont="1" applyAlignment="1">
      <alignment vertical="center"/>
    </xf>
    <xf numFmtId="0" fontId="4" fillId="0" borderId="5" xfId="0" applyFont="1" applyBorder="1" applyAlignment="1">
      <alignment vertical="center"/>
    </xf>
    <xf numFmtId="3" fontId="4" fillId="0" borderId="1" xfId="1" applyNumberFormat="1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7" xfId="0" quotePrefix="1" applyFont="1" applyFill="1" applyBorder="1" applyAlignment="1">
      <alignment horizontal="center" vertical="center"/>
    </xf>
    <xf numFmtId="164" fontId="4" fillId="0" borderId="8" xfId="1" applyNumberFormat="1" applyFont="1" applyBorder="1" applyAlignment="1">
      <alignment vertical="center"/>
    </xf>
    <xf numFmtId="164" fontId="5" fillId="0" borderId="8" xfId="1" applyNumberFormat="1" applyFont="1" applyBorder="1" applyAlignment="1">
      <alignment vertical="center"/>
    </xf>
    <xf numFmtId="164" fontId="7" fillId="0" borderId="1" xfId="1" applyNumberFormat="1" applyFont="1" applyBorder="1" applyAlignment="1">
      <alignment vertical="center"/>
    </xf>
    <xf numFmtId="0" fontId="4" fillId="2" borderId="6" xfId="0" quotePrefix="1" applyFont="1" applyFill="1" applyBorder="1" applyAlignment="1">
      <alignment horizontal="center" vertical="center"/>
    </xf>
    <xf numFmtId="164" fontId="4" fillId="2" borderId="8" xfId="1" applyNumberFormat="1" applyFont="1" applyFill="1" applyBorder="1" applyAlignment="1">
      <alignment vertical="center"/>
    </xf>
    <xf numFmtId="164" fontId="4" fillId="0" borderId="9" xfId="1" applyNumberFormat="1" applyFont="1" applyBorder="1" applyAlignment="1">
      <alignment vertical="center"/>
    </xf>
    <xf numFmtId="0" fontId="4" fillId="2" borderId="12" xfId="0" applyFont="1" applyFill="1" applyBorder="1" applyAlignment="1">
      <alignment vertical="center"/>
    </xf>
    <xf numFmtId="0" fontId="4" fillId="0" borderId="0" xfId="0" applyFont="1"/>
    <xf numFmtId="0" fontId="4" fillId="2" borderId="14" xfId="0" quotePrefix="1" applyFont="1" applyFill="1" applyBorder="1" applyAlignment="1">
      <alignment horizontal="center" vertical="center"/>
    </xf>
    <xf numFmtId="0" fontId="4" fillId="2" borderId="15" xfId="0" quotePrefix="1" applyFont="1" applyFill="1" applyBorder="1" applyAlignment="1">
      <alignment horizontal="center" vertical="center"/>
    </xf>
    <xf numFmtId="0" fontId="7" fillId="0" borderId="14" xfId="0" applyFont="1" applyBorder="1" applyAlignment="1">
      <alignment horizontal="left" vertical="center"/>
    </xf>
    <xf numFmtId="0" fontId="8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7" fillId="0" borderId="16" xfId="0" applyFont="1" applyBorder="1" applyAlignment="1">
      <alignment horizontal="left" vertical="center"/>
    </xf>
    <xf numFmtId="0" fontId="4" fillId="0" borderId="0" xfId="0" applyFont="1" applyBorder="1"/>
    <xf numFmtId="0" fontId="4" fillId="0" borderId="0" xfId="0" applyFont="1" applyAlignment="1">
      <alignment horizontal="left"/>
    </xf>
    <xf numFmtId="0" fontId="5" fillId="0" borderId="0" xfId="0" applyFont="1"/>
    <xf numFmtId="164" fontId="4" fillId="0" borderId="0" xfId="1" applyNumberFormat="1" applyFont="1"/>
    <xf numFmtId="49" fontId="7" fillId="0" borderId="17" xfId="0" applyNumberFormat="1" applyFont="1" applyBorder="1" applyAlignment="1">
      <alignment horizontal="center" vertical="center"/>
    </xf>
    <xf numFmtId="0" fontId="6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left" vertical="center"/>
    </xf>
    <xf numFmtId="164" fontId="4" fillId="0" borderId="14" xfId="1" applyNumberFormat="1" applyFont="1" applyBorder="1" applyAlignment="1">
      <alignment vertical="center"/>
    </xf>
    <xf numFmtId="4" fontId="4" fillId="0" borderId="14" xfId="1" applyNumberFormat="1" applyFont="1" applyBorder="1" applyAlignment="1">
      <alignment vertical="center"/>
    </xf>
    <xf numFmtId="164" fontId="5" fillId="0" borderId="14" xfId="1" applyNumberFormat="1" applyFont="1" applyBorder="1" applyAlignment="1">
      <alignment vertical="center"/>
    </xf>
    <xf numFmtId="164" fontId="4" fillId="2" borderId="14" xfId="1" applyNumberFormat="1" applyFont="1" applyFill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4" fillId="2" borderId="23" xfId="0" quotePrefix="1" applyFont="1" applyFill="1" applyBorder="1" applyAlignment="1">
      <alignment horizontal="center" vertical="center"/>
    </xf>
    <xf numFmtId="164" fontId="4" fillId="0" borderId="15" xfId="1" applyNumberFormat="1" applyFont="1" applyBorder="1" applyAlignment="1">
      <alignment vertical="center"/>
    </xf>
    <xf numFmtId="4" fontId="4" fillId="0" borderId="15" xfId="1" applyNumberFormat="1" applyFont="1" applyBorder="1" applyAlignment="1">
      <alignment vertical="center"/>
    </xf>
    <xf numFmtId="164" fontId="4" fillId="2" borderId="15" xfId="1" applyNumberFormat="1" applyFont="1" applyFill="1" applyBorder="1" applyAlignment="1">
      <alignment vertical="center"/>
    </xf>
    <xf numFmtId="0" fontId="7" fillId="0" borderId="14" xfId="0" applyFont="1" applyBorder="1" applyAlignment="1">
      <alignment vertical="center"/>
    </xf>
    <xf numFmtId="164" fontId="7" fillId="0" borderId="14" xfId="1" applyNumberFormat="1" applyFont="1" applyBorder="1" applyAlignment="1">
      <alignment vertical="center"/>
    </xf>
    <xf numFmtId="164" fontId="6" fillId="0" borderId="14" xfId="1" applyNumberFormat="1" applyFont="1" applyBorder="1" applyAlignment="1">
      <alignment vertical="center"/>
    </xf>
    <xf numFmtId="164" fontId="7" fillId="0" borderId="0" xfId="0" applyNumberFormat="1" applyFont="1" applyBorder="1"/>
    <xf numFmtId="0" fontId="7" fillId="0" borderId="0" xfId="0" applyFont="1" applyBorder="1" applyAlignment="1">
      <alignment horizontal="left"/>
    </xf>
    <xf numFmtId="164" fontId="7" fillId="0" borderId="0" xfId="1" applyNumberFormat="1" applyFont="1" applyBorder="1"/>
    <xf numFmtId="164" fontId="6" fillId="0" borderId="0" xfId="1" applyNumberFormat="1" applyFont="1" applyBorder="1"/>
    <xf numFmtId="0" fontId="7" fillId="0" borderId="0" xfId="0" applyFont="1" applyBorder="1"/>
    <xf numFmtId="0" fontId="7" fillId="0" borderId="0" xfId="0" applyFont="1"/>
    <xf numFmtId="0" fontId="7" fillId="0" borderId="0" xfId="0" applyFont="1" applyAlignment="1"/>
    <xf numFmtId="43" fontId="5" fillId="0" borderId="0" xfId="0" applyNumberFormat="1" applyFont="1"/>
    <xf numFmtId="43" fontId="4" fillId="0" borderId="0" xfId="0" applyNumberFormat="1" applyFont="1"/>
    <xf numFmtId="164" fontId="4" fillId="0" borderId="0" xfId="0" applyNumberFormat="1" applyFont="1"/>
    <xf numFmtId="0" fontId="4" fillId="0" borderId="0" xfId="0" applyFont="1" applyAlignment="1">
      <alignment vertical="justify"/>
    </xf>
    <xf numFmtId="0" fontId="4" fillId="0" borderId="0" xfId="0" applyFont="1" applyAlignment="1">
      <alignment horizontal="left" vertical="justify"/>
    </xf>
    <xf numFmtId="4" fontId="7" fillId="0" borderId="17" xfId="0" applyNumberFormat="1" applyFont="1" applyBorder="1" applyAlignment="1">
      <alignment horizontal="center" wrapText="1"/>
    </xf>
    <xf numFmtId="0" fontId="7" fillId="0" borderId="11" xfId="0" applyFont="1" applyBorder="1" applyAlignment="1">
      <alignment horizontal="left" vertical="justify"/>
    </xf>
    <xf numFmtId="4" fontId="7" fillId="0" borderId="11" xfId="0" applyNumberFormat="1" applyFont="1" applyBorder="1" applyAlignment="1">
      <alignment horizontal="center" wrapText="1"/>
    </xf>
    <xf numFmtId="0" fontId="7" fillId="0" borderId="15" xfId="0" applyFont="1" applyBorder="1" applyAlignment="1">
      <alignment horizontal="left" vertical="justify"/>
    </xf>
    <xf numFmtId="4" fontId="7" fillId="0" borderId="15" xfId="0" applyNumberFormat="1" applyFont="1" applyBorder="1" applyAlignment="1">
      <alignment horizontal="center" wrapText="1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4" fillId="0" borderId="5" xfId="0" applyFont="1" applyBorder="1" applyAlignment="1">
      <alignment horizontal="left" vertical="center"/>
    </xf>
    <xf numFmtId="49" fontId="4" fillId="2" borderId="11" xfId="0" quotePrefix="1" applyNumberFormat="1" applyFont="1" applyFill="1" applyBorder="1" applyAlignment="1">
      <alignment horizontal="left" vertical="center"/>
    </xf>
    <xf numFmtId="49" fontId="4" fillId="2" borderId="11" xfId="0" applyNumberFormat="1" applyFont="1" applyFill="1" applyBorder="1" applyAlignment="1">
      <alignment horizontal="left" vertical="center"/>
    </xf>
    <xf numFmtId="164" fontId="4" fillId="0" borderId="11" xfId="1" applyNumberFormat="1" applyFont="1" applyBorder="1" applyAlignment="1">
      <alignment vertical="center"/>
    </xf>
    <xf numFmtId="4" fontId="4" fillId="2" borderId="11" xfId="1" applyNumberFormat="1" applyFont="1" applyFill="1" applyBorder="1" applyAlignment="1">
      <alignment vertical="center"/>
    </xf>
    <xf numFmtId="164" fontId="5" fillId="0" borderId="11" xfId="1" applyNumberFormat="1" applyFont="1" applyBorder="1" applyAlignment="1">
      <alignment vertical="center"/>
    </xf>
    <xf numFmtId="164" fontId="4" fillId="2" borderId="11" xfId="1" applyNumberFormat="1" applyFont="1" applyFill="1" applyBorder="1" applyAlignment="1">
      <alignment vertical="center"/>
    </xf>
    <xf numFmtId="0" fontId="4" fillId="2" borderId="26" xfId="0" applyFont="1" applyFill="1" applyBorder="1" applyAlignment="1">
      <alignment vertical="center"/>
    </xf>
    <xf numFmtId="0" fontId="4" fillId="0" borderId="13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left" vertical="justify"/>
    </xf>
    <xf numFmtId="164" fontId="4" fillId="0" borderId="1" xfId="1" quotePrefix="1" applyNumberFormat="1" applyFont="1" applyBorder="1" applyAlignment="1">
      <alignment vertical="center"/>
    </xf>
    <xf numFmtId="0" fontId="11" fillId="0" borderId="0" xfId="0" applyFont="1" applyAlignment="1">
      <alignment horizontal="center"/>
    </xf>
    <xf numFmtId="0" fontId="10" fillId="0" borderId="0" xfId="0" applyFont="1"/>
    <xf numFmtId="0" fontId="12" fillId="0" borderId="0" xfId="0" applyFont="1"/>
    <xf numFmtId="49" fontId="7" fillId="0" borderId="0" xfId="0" applyNumberFormat="1" applyFont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11" fillId="0" borderId="0" xfId="0" applyFont="1" applyBorder="1" applyAlignment="1">
      <alignment horizontal="center" vertical="top"/>
    </xf>
    <xf numFmtId="49" fontId="7" fillId="0" borderId="17" xfId="0" applyNumberFormat="1" applyFont="1" applyBorder="1" applyAlignment="1">
      <alignment horizontal="left" vertical="center"/>
    </xf>
    <xf numFmtId="0" fontId="6" fillId="0" borderId="17" xfId="0" applyFont="1" applyBorder="1" applyAlignment="1">
      <alignment horizontal="center"/>
    </xf>
    <xf numFmtId="49" fontId="7" fillId="0" borderId="11" xfId="0" applyNumberFormat="1" applyFont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center"/>
    </xf>
    <xf numFmtId="0" fontId="10" fillId="0" borderId="6" xfId="0" applyFont="1" applyBorder="1" applyAlignment="1"/>
    <xf numFmtId="0" fontId="10" fillId="0" borderId="0" xfId="0" applyFont="1" applyBorder="1" applyAlignment="1"/>
    <xf numFmtId="0" fontId="10" fillId="0" borderId="5" xfId="0" applyFont="1" applyBorder="1" applyAlignment="1"/>
    <xf numFmtId="49" fontId="7" fillId="0" borderId="15" xfId="0" applyNumberFormat="1" applyFont="1" applyBorder="1" applyAlignment="1">
      <alignment horizontal="left" vertical="center"/>
    </xf>
    <xf numFmtId="0" fontId="4" fillId="0" borderId="11" xfId="0" applyFont="1" applyBorder="1" applyAlignment="1">
      <alignment vertical="center"/>
    </xf>
    <xf numFmtId="49" fontId="7" fillId="0" borderId="0" xfId="0" applyNumberFormat="1" applyFont="1" applyBorder="1" applyAlignment="1">
      <alignment horizontal="left"/>
    </xf>
    <xf numFmtId="164" fontId="6" fillId="0" borderId="0" xfId="0" applyNumberFormat="1" applyFont="1" applyBorder="1"/>
    <xf numFmtId="164" fontId="4" fillId="0" borderId="0" xfId="1" applyNumberFormat="1" applyFont="1" applyBorder="1"/>
    <xf numFmtId="0" fontId="10" fillId="0" borderId="0" xfId="0" applyFont="1" applyBorder="1" applyAlignment="1">
      <alignment horizontal="center"/>
    </xf>
    <xf numFmtId="49" fontId="4" fillId="0" borderId="0" xfId="0" applyNumberFormat="1" applyFont="1" applyBorder="1" applyAlignment="1">
      <alignment horizontal="left"/>
    </xf>
    <xf numFmtId="164" fontId="14" fillId="0" borderId="0" xfId="1" applyNumberFormat="1" applyFont="1"/>
    <xf numFmtId="0" fontId="15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left"/>
    </xf>
    <xf numFmtId="0" fontId="14" fillId="0" borderId="0" xfId="0" applyFont="1"/>
    <xf numFmtId="0" fontId="12" fillId="0" borderId="0" xfId="0" quotePrefix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0" fontId="4" fillId="0" borderId="18" xfId="0" applyFont="1" applyBorder="1"/>
    <xf numFmtId="0" fontId="4" fillId="0" borderId="6" xfId="0" applyFont="1" applyBorder="1"/>
    <xf numFmtId="0" fontId="4" fillId="0" borderId="5" xfId="0" applyFont="1" applyBorder="1"/>
    <xf numFmtId="0" fontId="5" fillId="0" borderId="15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 wrapText="1"/>
    </xf>
    <xf numFmtId="0" fontId="4" fillId="0" borderId="23" xfId="0" applyFont="1" applyBorder="1"/>
    <xf numFmtId="0" fontId="4" fillId="0" borderId="25" xfId="0" applyFont="1" applyBorder="1"/>
    <xf numFmtId="0" fontId="4" fillId="0" borderId="24" xfId="0" applyFont="1" applyBorder="1"/>
    <xf numFmtId="0" fontId="14" fillId="0" borderId="1" xfId="0" applyFont="1" applyBorder="1" applyAlignment="1">
      <alignment horizontal="left" vertical="center" wrapText="1"/>
    </xf>
    <xf numFmtId="49" fontId="4" fillId="2" borderId="4" xfId="0" quotePrefix="1" applyNumberFormat="1" applyFont="1" applyFill="1" applyBorder="1" applyAlignment="1">
      <alignment horizontal="left" vertical="center"/>
    </xf>
    <xf numFmtId="0" fontId="4" fillId="2" borderId="3" xfId="0" quotePrefix="1" applyFont="1" applyFill="1" applyBorder="1" applyAlignment="1">
      <alignment horizontal="left" vertical="center"/>
    </xf>
    <xf numFmtId="0" fontId="4" fillId="0" borderId="4" xfId="0" quotePrefix="1" applyFont="1" applyBorder="1" applyAlignment="1">
      <alignment horizontal="left" vertical="center"/>
    </xf>
    <xf numFmtId="49" fontId="4" fillId="2" borderId="9" xfId="0" quotePrefix="1" applyNumberFormat="1" applyFont="1" applyFill="1" applyBorder="1" applyAlignment="1">
      <alignment horizontal="center" vertical="center"/>
    </xf>
    <xf numFmtId="49" fontId="4" fillId="2" borderId="9" xfId="0" applyNumberFormat="1" applyFont="1" applyFill="1" applyBorder="1" applyAlignment="1">
      <alignment horizontal="center" vertical="center"/>
    </xf>
    <xf numFmtId="3" fontId="7" fillId="0" borderId="1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vertical="center"/>
    </xf>
    <xf numFmtId="49" fontId="21" fillId="2" borderId="1" xfId="0" quotePrefix="1" applyNumberFormat="1" applyFont="1" applyFill="1" applyBorder="1" applyAlignment="1">
      <alignment horizontal="left" vertical="center"/>
    </xf>
    <xf numFmtId="164" fontId="7" fillId="0" borderId="22" xfId="0" quotePrefix="1" applyNumberFormat="1" applyFont="1" applyBorder="1" applyAlignment="1"/>
    <xf numFmtId="0" fontId="7" fillId="0" borderId="6" xfId="0" applyFont="1" applyBorder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left" vertical="center"/>
    </xf>
    <xf numFmtId="164" fontId="4" fillId="2" borderId="1" xfId="1" quotePrefix="1" applyNumberFormat="1" applyFont="1" applyFill="1" applyBorder="1" applyAlignment="1">
      <alignment horizontal="center" vertical="center"/>
    </xf>
    <xf numFmtId="164" fontId="4" fillId="2" borderId="14" xfId="1" quotePrefix="1" applyNumberFormat="1" applyFont="1" applyFill="1" applyBorder="1" applyAlignment="1">
      <alignment horizontal="center" vertical="center"/>
    </xf>
    <xf numFmtId="164" fontId="4" fillId="0" borderId="1" xfId="1" quotePrefix="1" applyNumberFormat="1" applyFont="1" applyBorder="1" applyAlignment="1">
      <alignment horizontal="center" vertical="center"/>
    </xf>
    <xf numFmtId="0" fontId="4" fillId="0" borderId="0" xfId="0" quotePrefix="1" applyFont="1" applyAlignment="1">
      <alignment horizontal="left" vertical="center"/>
    </xf>
    <xf numFmtId="0" fontId="4" fillId="0" borderId="0" xfId="0" quotePrefix="1" applyFont="1"/>
    <xf numFmtId="0" fontId="14" fillId="0" borderId="1" xfId="0" applyFont="1" applyBorder="1" applyAlignment="1">
      <alignment vertical="center" wrapText="1"/>
    </xf>
    <xf numFmtId="0" fontId="4" fillId="0" borderId="29" xfId="0" quotePrefix="1" applyNumberFormat="1" applyFont="1" applyFill="1" applyBorder="1" applyAlignment="1">
      <alignment horizontal="left" vertical="center"/>
    </xf>
    <xf numFmtId="0" fontId="4" fillId="0" borderId="30" xfId="0" applyFont="1" applyBorder="1" applyAlignment="1">
      <alignment vertical="center"/>
    </xf>
    <xf numFmtId="49" fontId="4" fillId="2" borderId="30" xfId="0" quotePrefix="1" applyNumberFormat="1" applyFont="1" applyFill="1" applyBorder="1" applyAlignment="1">
      <alignment horizontal="left" vertical="center"/>
    </xf>
    <xf numFmtId="49" fontId="4" fillId="2" borderId="30" xfId="0" applyNumberFormat="1" applyFont="1" applyFill="1" applyBorder="1" applyAlignment="1">
      <alignment horizontal="left" vertical="center"/>
    </xf>
    <xf numFmtId="49" fontId="4" fillId="2" borderId="30" xfId="0" quotePrefix="1" applyNumberFormat="1" applyFont="1" applyFill="1" applyBorder="1" applyAlignment="1">
      <alignment horizontal="center" vertical="center"/>
    </xf>
    <xf numFmtId="49" fontId="4" fillId="2" borderId="30" xfId="0" applyNumberFormat="1" applyFont="1" applyFill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left" vertical="center"/>
    </xf>
    <xf numFmtId="0" fontId="18" fillId="0" borderId="1" xfId="0" applyFont="1" applyBorder="1" applyAlignment="1">
      <alignment vertical="center" wrapText="1"/>
    </xf>
    <xf numFmtId="49" fontId="4" fillId="2" borderId="3" xfId="0" quotePrefix="1" applyNumberFormat="1" applyFont="1" applyFill="1" applyBorder="1" applyAlignment="1">
      <alignment horizontal="left"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21" fillId="0" borderId="8" xfId="0" applyFont="1" applyBorder="1" applyAlignment="1">
      <alignment vertical="center"/>
    </xf>
    <xf numFmtId="0" fontId="21" fillId="0" borderId="8" xfId="0" quotePrefix="1" applyFont="1" applyBorder="1" applyAlignment="1">
      <alignment horizontal="left" vertical="center"/>
    </xf>
    <xf numFmtId="49" fontId="21" fillId="2" borderId="1" xfId="0" applyNumberFormat="1" applyFont="1" applyFill="1" applyBorder="1" applyAlignment="1">
      <alignment horizontal="left" vertical="center"/>
    </xf>
    <xf numFmtId="0" fontId="21" fillId="0" borderId="1" xfId="0" quotePrefix="1" applyFont="1" applyBorder="1" applyAlignment="1">
      <alignment horizontal="left" vertical="center"/>
    </xf>
    <xf numFmtId="0" fontId="21" fillId="0" borderId="1" xfId="0" applyFont="1" applyBorder="1" applyAlignment="1">
      <alignment vertical="justify"/>
    </xf>
    <xf numFmtId="0" fontId="21" fillId="0" borderId="1" xfId="0" quotePrefix="1" applyFont="1" applyBorder="1" applyAlignment="1">
      <alignment horizontal="left"/>
    </xf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>
      <alignment horizontal="left" vertical="center" wrapText="1"/>
    </xf>
    <xf numFmtId="0" fontId="4" fillId="0" borderId="8" xfId="0" applyFont="1" applyBorder="1" applyAlignment="1">
      <alignment vertical="center"/>
    </xf>
    <xf numFmtId="0" fontId="4" fillId="0" borderId="8" xfId="0" quotePrefix="1" applyFont="1" applyBorder="1" applyAlignment="1">
      <alignment horizontal="left" vertical="center"/>
    </xf>
    <xf numFmtId="0" fontId="4" fillId="0" borderId="1" xfId="0" applyFont="1" applyBorder="1" applyAlignment="1">
      <alignment vertical="justify"/>
    </xf>
    <xf numFmtId="0" fontId="4" fillId="0" borderId="1" xfId="0" quotePrefix="1" applyFont="1" applyBorder="1" applyAlignment="1">
      <alignment horizontal="left"/>
    </xf>
    <xf numFmtId="49" fontId="4" fillId="0" borderId="1" xfId="0" quotePrefix="1" applyNumberFormat="1" applyFont="1" applyFill="1" applyBorder="1" applyAlignment="1">
      <alignment horizontal="left" vertical="center"/>
    </xf>
    <xf numFmtId="0" fontId="20" fillId="0" borderId="1" xfId="0" applyFont="1" applyBorder="1" applyAlignment="1">
      <alignment vertical="center"/>
    </xf>
    <xf numFmtId="49" fontId="20" fillId="2" borderId="1" xfId="0" quotePrefix="1" applyNumberFormat="1" applyFont="1" applyFill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1" xfId="0" quotePrefix="1" applyFont="1" applyBorder="1" applyAlignment="1">
      <alignment horizontal="left" vertical="center"/>
    </xf>
    <xf numFmtId="49" fontId="20" fillId="2" borderId="1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9" fontId="4" fillId="0" borderId="27" xfId="0" applyNumberFormat="1" applyFont="1" applyBorder="1" applyAlignment="1">
      <alignment vertical="center"/>
    </xf>
    <xf numFmtId="49" fontId="20" fillId="2" borderId="11" xfId="0" applyNumberFormat="1" applyFont="1" applyFill="1" applyBorder="1" applyAlignment="1">
      <alignment horizontal="left" vertical="center"/>
    </xf>
    <xf numFmtId="0" fontId="20" fillId="0" borderId="0" xfId="0" quotePrefix="1" applyFont="1" applyAlignment="1">
      <alignment horizontal="left" vertical="center"/>
    </xf>
    <xf numFmtId="49" fontId="20" fillId="0" borderId="10" xfId="0" applyNumberFormat="1" applyFont="1" applyBorder="1" applyAlignment="1">
      <alignment vertical="center"/>
    </xf>
    <xf numFmtId="0" fontId="20" fillId="0" borderId="1" xfId="0" applyFont="1" applyBorder="1" applyAlignment="1">
      <alignment horizontal="left" vertical="center"/>
    </xf>
    <xf numFmtId="0" fontId="24" fillId="0" borderId="1" xfId="0" applyFont="1" applyBorder="1" applyAlignment="1">
      <alignment vertical="center" wrapText="1"/>
    </xf>
    <xf numFmtId="0" fontId="20" fillId="0" borderId="1" xfId="0" applyFont="1" applyBorder="1" applyAlignment="1">
      <alignment vertical="center" wrapText="1"/>
    </xf>
    <xf numFmtId="0" fontId="20" fillId="0" borderId="0" xfId="0" applyFont="1" applyAlignment="1">
      <alignment horizontal="left" vertical="center"/>
    </xf>
    <xf numFmtId="0" fontId="20" fillId="0" borderId="8" xfId="0" applyFont="1" applyBorder="1" applyAlignment="1">
      <alignment vertical="center"/>
    </xf>
    <xf numFmtId="49" fontId="20" fillId="2" borderId="8" xfId="0" quotePrefix="1" applyNumberFormat="1" applyFont="1" applyFill="1" applyBorder="1" applyAlignment="1">
      <alignment horizontal="left" vertical="center"/>
    </xf>
    <xf numFmtId="0" fontId="20" fillId="0" borderId="30" xfId="0" applyFont="1" applyBorder="1" applyAlignment="1">
      <alignment vertical="center" wrapText="1"/>
    </xf>
    <xf numFmtId="49" fontId="20" fillId="2" borderId="30" xfId="0" quotePrefix="1" applyNumberFormat="1" applyFont="1" applyFill="1" applyBorder="1" applyAlignment="1">
      <alignment horizontal="center" vertical="center"/>
    </xf>
    <xf numFmtId="49" fontId="20" fillId="2" borderId="30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25" fillId="0" borderId="14" xfId="0" applyNumberFormat="1" applyFont="1" applyFill="1" applyBorder="1" applyAlignment="1" applyProtection="1">
      <alignment horizontal="center" vertical="center" wrapText="1"/>
    </xf>
    <xf numFmtId="0" fontId="0" fillId="3" borderId="14" xfId="0" applyFill="1" applyBorder="1" applyAlignment="1">
      <alignment horizontal="center" vertical="center" wrapText="1"/>
    </xf>
    <xf numFmtId="0" fontId="25" fillId="3" borderId="14" xfId="0" applyNumberFormat="1" applyFont="1" applyFill="1" applyBorder="1" applyAlignment="1" applyProtection="1">
      <alignment horizontal="center" vertical="center" wrapText="1"/>
    </xf>
    <xf numFmtId="49" fontId="4" fillId="0" borderId="1" xfId="0" quotePrefix="1" applyNumberFormat="1" applyFont="1" applyBorder="1" applyAlignment="1">
      <alignment horizontal="left" vertical="center"/>
    </xf>
    <xf numFmtId="49" fontId="4" fillId="0" borderId="11" xfId="0" quotePrefix="1" applyNumberFormat="1" applyFont="1" applyBorder="1" applyAlignment="1">
      <alignment vertical="center"/>
    </xf>
    <xf numFmtId="49" fontId="20" fillId="0" borderId="1" xfId="0" quotePrefix="1" applyNumberFormat="1" applyFont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0" fontId="4" fillId="0" borderId="0" xfId="0" applyNumberFormat="1" applyFont="1" applyAlignment="1">
      <alignment horizontal="left"/>
    </xf>
    <xf numFmtId="0" fontId="7" fillId="0" borderId="17" xfId="0" applyNumberFormat="1" applyFont="1" applyBorder="1" applyAlignment="1">
      <alignment horizontal="center" vertical="center"/>
    </xf>
    <xf numFmtId="0" fontId="4" fillId="0" borderId="1" xfId="0" quotePrefix="1" applyNumberFormat="1" applyFont="1" applyBorder="1" applyAlignment="1">
      <alignment horizontal="left" vertical="center"/>
    </xf>
    <xf numFmtId="0" fontId="4" fillId="2" borderId="1" xfId="0" quotePrefix="1" applyNumberFormat="1" applyFont="1" applyFill="1" applyBorder="1" applyAlignment="1">
      <alignment horizontal="left" vertical="center"/>
    </xf>
    <xf numFmtId="0" fontId="21" fillId="2" borderId="1" xfId="0" quotePrefix="1" applyNumberFormat="1" applyFont="1" applyFill="1" applyBorder="1" applyAlignment="1">
      <alignment horizontal="left" vertical="center"/>
    </xf>
    <xf numFmtId="0" fontId="4" fillId="0" borderId="11" xfId="0" quotePrefix="1" applyNumberFormat="1" applyFont="1" applyBorder="1" applyAlignment="1">
      <alignment vertical="center"/>
    </xf>
    <xf numFmtId="0" fontId="20" fillId="2" borderId="1" xfId="0" quotePrefix="1" applyNumberFormat="1" applyFont="1" applyFill="1" applyBorder="1" applyAlignment="1">
      <alignment horizontal="left" vertical="center"/>
    </xf>
    <xf numFmtId="0" fontId="20" fillId="0" borderId="1" xfId="0" quotePrefix="1" applyNumberFormat="1" applyFont="1" applyBorder="1" applyAlignment="1">
      <alignment horizontal="left" vertical="center"/>
    </xf>
    <xf numFmtId="0" fontId="20" fillId="0" borderId="11" xfId="0" applyNumberFormat="1" applyFont="1" applyBorder="1" applyAlignment="1">
      <alignment vertical="center"/>
    </xf>
    <xf numFmtId="0" fontId="20" fillId="2" borderId="1" xfId="0" applyNumberFormat="1" applyFont="1" applyFill="1" applyBorder="1" applyAlignment="1">
      <alignment horizontal="left" vertical="center"/>
    </xf>
    <xf numFmtId="0" fontId="20" fillId="2" borderId="9" xfId="0" quotePrefix="1" applyNumberFormat="1" applyFont="1" applyFill="1" applyBorder="1" applyAlignment="1">
      <alignment horizontal="left" vertical="center"/>
    </xf>
    <xf numFmtId="0" fontId="4" fillId="0" borderId="14" xfId="0" applyNumberFormat="1" applyFont="1" applyBorder="1" applyAlignment="1">
      <alignment horizontal="left" vertical="center"/>
    </xf>
    <xf numFmtId="0" fontId="20" fillId="2" borderId="11" xfId="0" applyNumberFormat="1" applyFont="1" applyFill="1" applyBorder="1" applyAlignment="1">
      <alignment horizontal="left" vertical="center"/>
    </xf>
    <xf numFmtId="0" fontId="20" fillId="2" borderId="8" xfId="0" quotePrefix="1" applyNumberFormat="1" applyFont="1" applyFill="1" applyBorder="1" applyAlignment="1">
      <alignment horizontal="left" vertical="center"/>
    </xf>
    <xf numFmtId="0" fontId="7" fillId="0" borderId="14" xfId="0" applyNumberFormat="1" applyFont="1" applyBorder="1" applyAlignment="1">
      <alignment horizontal="left" vertical="center"/>
    </xf>
    <xf numFmtId="0" fontId="7" fillId="0" borderId="0" xfId="0" applyNumberFormat="1" applyFont="1" applyBorder="1" applyAlignment="1">
      <alignment horizontal="left"/>
    </xf>
    <xf numFmtId="0" fontId="7" fillId="0" borderId="0" xfId="0" applyNumberFormat="1" applyFont="1" applyAlignment="1">
      <alignment horizontal="left"/>
    </xf>
    <xf numFmtId="49" fontId="25" fillId="0" borderId="14" xfId="0" applyNumberFormat="1" applyFont="1" applyFill="1" applyBorder="1" applyAlignment="1" applyProtection="1">
      <alignment horizontal="center" vertical="center" wrapText="1"/>
    </xf>
    <xf numFmtId="49" fontId="25" fillId="3" borderId="14" xfId="0" applyNumberFormat="1" applyFont="1" applyFill="1" applyBorder="1" applyAlignment="1" applyProtection="1">
      <alignment horizontal="center" vertical="center" wrapText="1"/>
    </xf>
    <xf numFmtId="49" fontId="0" fillId="0" borderId="0" xfId="0" applyNumberFormat="1"/>
    <xf numFmtId="1" fontId="4" fillId="2" borderId="1" xfId="0" applyNumberFormat="1" applyFont="1" applyFill="1" applyBorder="1" applyAlignment="1">
      <alignment horizontal="left" vertical="center"/>
    </xf>
    <xf numFmtId="0" fontId="25" fillId="0" borderId="14" xfId="0" applyNumberFormat="1" applyFont="1" applyFill="1" applyBorder="1" applyAlignment="1" applyProtection="1">
      <alignment horizontal="left" vertical="center" wrapText="1"/>
    </xf>
    <xf numFmtId="0" fontId="25" fillId="3" borderId="14" xfId="0" applyNumberFormat="1" applyFont="1" applyFill="1" applyBorder="1" applyAlignment="1" applyProtection="1">
      <alignment horizontal="left" vertical="center" wrapText="1"/>
    </xf>
    <xf numFmtId="0" fontId="0" fillId="0" borderId="0" xfId="0" applyAlignment="1">
      <alignment horizontal="left"/>
    </xf>
    <xf numFmtId="0" fontId="21" fillId="2" borderId="1" xfId="0" applyNumberFormat="1" applyFont="1" applyFill="1" applyBorder="1" applyAlignment="1">
      <alignment horizontal="left" vertical="center"/>
    </xf>
    <xf numFmtId="0" fontId="4" fillId="2" borderId="4" xfId="0" quotePrefix="1" applyNumberFormat="1" applyFont="1" applyFill="1" applyBorder="1" applyAlignment="1">
      <alignment horizontal="left" vertical="center"/>
    </xf>
    <xf numFmtId="0" fontId="21" fillId="0" borderId="1" xfId="0" quotePrefix="1" applyNumberFormat="1" applyFont="1" applyBorder="1" applyAlignment="1">
      <alignment horizontal="left" vertical="center"/>
    </xf>
    <xf numFmtId="0" fontId="4" fillId="2" borderId="30" xfId="0" quotePrefix="1" applyNumberFormat="1" applyFont="1" applyFill="1" applyBorder="1" applyAlignment="1">
      <alignment horizontal="left" vertical="center"/>
    </xf>
    <xf numFmtId="0" fontId="4" fillId="2" borderId="3" xfId="0" quotePrefix="1" applyNumberFormat="1" applyFont="1" applyFill="1" applyBorder="1" applyAlignment="1">
      <alignment horizontal="left" vertical="center"/>
    </xf>
    <xf numFmtId="0" fontId="4" fillId="2" borderId="30" xfId="0" applyNumberFormat="1" applyFont="1" applyFill="1" applyBorder="1" applyAlignment="1">
      <alignment horizontal="left" vertical="center"/>
    </xf>
    <xf numFmtId="0" fontId="4" fillId="0" borderId="4" xfId="0" quotePrefix="1" applyNumberFormat="1" applyFont="1" applyBorder="1" applyAlignment="1">
      <alignment horizontal="left" vertical="center"/>
    </xf>
    <xf numFmtId="0" fontId="4" fillId="0" borderId="4" xfId="0" applyNumberFormat="1" applyFont="1" applyBorder="1" applyAlignment="1">
      <alignment horizontal="left" vertical="center"/>
    </xf>
    <xf numFmtId="0" fontId="4" fillId="2" borderId="11" xfId="0" quotePrefix="1" applyNumberFormat="1" applyFont="1" applyFill="1" applyBorder="1" applyAlignment="1">
      <alignment horizontal="left" vertical="center"/>
    </xf>
    <xf numFmtId="0" fontId="4" fillId="0" borderId="0" xfId="0" applyNumberFormat="1" applyFont="1" applyBorder="1" applyAlignment="1">
      <alignment horizontal="left"/>
    </xf>
    <xf numFmtId="49" fontId="1" fillId="0" borderId="14" xfId="0" applyNumberFormat="1" applyFont="1" applyFill="1" applyBorder="1" applyAlignment="1" applyProtection="1">
      <alignment horizontal="left" vertical="center"/>
    </xf>
    <xf numFmtId="49" fontId="1" fillId="4" borderId="14" xfId="0" applyNumberFormat="1" applyFont="1" applyFill="1" applyBorder="1" applyAlignment="1" applyProtection="1">
      <alignment horizontal="left" vertical="center"/>
    </xf>
    <xf numFmtId="49" fontId="1" fillId="3" borderId="14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Alignment="1">
      <alignment horizontal="left" vertical="justify"/>
    </xf>
    <xf numFmtId="0" fontId="7" fillId="0" borderId="11" xfId="0" applyNumberFormat="1" applyFont="1" applyBorder="1" applyAlignment="1">
      <alignment horizontal="left" vertical="justify"/>
    </xf>
    <xf numFmtId="0" fontId="7" fillId="0" borderId="15" xfId="0" applyNumberFormat="1" applyFont="1" applyBorder="1" applyAlignment="1">
      <alignment horizontal="left" vertical="justify"/>
    </xf>
    <xf numFmtId="0" fontId="4" fillId="2" borderId="11" xfId="0" applyNumberFormat="1" applyFont="1" applyFill="1" applyBorder="1" applyAlignment="1">
      <alignment horizontal="left" vertical="center"/>
    </xf>
    <xf numFmtId="0" fontId="7" fillId="0" borderId="0" xfId="0" applyNumberFormat="1" applyFont="1" applyBorder="1" applyAlignment="1">
      <alignment horizontal="left" vertical="justify"/>
    </xf>
    <xf numFmtId="0" fontId="4" fillId="0" borderId="1" xfId="0" quotePrefix="1" applyNumberFormat="1" applyFont="1" applyBorder="1" applyAlignment="1">
      <alignment horizontal="left"/>
    </xf>
    <xf numFmtId="0" fontId="4" fillId="0" borderId="11" xfId="0" applyNumberFormat="1" applyFont="1" applyBorder="1" applyAlignment="1">
      <alignment vertical="center"/>
    </xf>
    <xf numFmtId="0" fontId="7" fillId="0" borderId="0" xfId="0" applyNumberFormat="1" applyFont="1" applyAlignment="1">
      <alignment horizontal="left" vertical="top"/>
    </xf>
    <xf numFmtId="0" fontId="7" fillId="0" borderId="17" xfId="0" applyNumberFormat="1" applyFont="1" applyBorder="1" applyAlignment="1">
      <alignment horizontal="left" vertical="center"/>
    </xf>
    <xf numFmtId="0" fontId="7" fillId="0" borderId="11" xfId="0" applyNumberFormat="1" applyFont="1" applyBorder="1" applyAlignment="1">
      <alignment horizontal="left" vertical="center"/>
    </xf>
    <xf numFmtId="0" fontId="7" fillId="0" borderId="15" xfId="0" applyNumberFormat="1" applyFont="1" applyBorder="1" applyAlignment="1">
      <alignment horizontal="left" vertical="center"/>
    </xf>
    <xf numFmtId="0" fontId="4" fillId="0" borderId="1" xfId="0" quotePrefix="1" applyNumberFormat="1" applyFont="1" applyFill="1" applyBorder="1" applyAlignment="1">
      <alignment horizontal="left" vertical="center"/>
    </xf>
    <xf numFmtId="0" fontId="20" fillId="0" borderId="0" xfId="0" quotePrefix="1" applyNumberFormat="1" applyFont="1" applyAlignment="1">
      <alignment horizontal="left" vertical="center"/>
    </xf>
    <xf numFmtId="0" fontId="21" fillId="0" borderId="1" xfId="0" quotePrefix="1" applyNumberFormat="1" applyFont="1" applyBorder="1" applyAlignment="1">
      <alignment horizontal="left"/>
    </xf>
    <xf numFmtId="0" fontId="4" fillId="0" borderId="0" xfId="0" quotePrefix="1" applyNumberFormat="1" applyFont="1" applyAlignment="1">
      <alignment horizontal="left" vertical="center"/>
    </xf>
    <xf numFmtId="0" fontId="4" fillId="0" borderId="9" xfId="0" quotePrefix="1" applyNumberFormat="1" applyFont="1" applyBorder="1" applyAlignment="1">
      <alignment horizontal="left" vertical="center"/>
    </xf>
    <xf numFmtId="0" fontId="21" fillId="0" borderId="9" xfId="0" quotePrefix="1" applyNumberFormat="1" applyFont="1" applyBorder="1" applyAlignment="1">
      <alignment horizontal="left" vertical="center"/>
    </xf>
    <xf numFmtId="0" fontId="0" fillId="4" borderId="14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16" xfId="0" quotePrefix="1" applyFill="1" applyBorder="1"/>
    <xf numFmtId="0" fontId="0" fillId="4" borderId="16" xfId="0" applyFill="1" applyBorder="1"/>
    <xf numFmtId="0" fontId="0" fillId="4" borderId="18" xfId="0" quotePrefix="1" applyFill="1" applyBorder="1"/>
    <xf numFmtId="0" fontId="0" fillId="4" borderId="0" xfId="0" applyFill="1"/>
    <xf numFmtId="0" fontId="4" fillId="4" borderId="14" xfId="0" quotePrefix="1" applyNumberFormat="1" applyFont="1" applyFill="1" applyBorder="1" applyAlignment="1">
      <alignment horizontal="left" vertical="center"/>
    </xf>
    <xf numFmtId="0" fontId="0" fillId="4" borderId="14" xfId="0" quotePrefix="1" applyFill="1" applyBorder="1"/>
    <xf numFmtId="49" fontId="4" fillId="4" borderId="14" xfId="0" quotePrefix="1" applyNumberFormat="1" applyFont="1" applyFill="1" applyBorder="1" applyAlignment="1">
      <alignment horizontal="left" vertical="center"/>
    </xf>
    <xf numFmtId="0" fontId="4" fillId="4" borderId="14" xfId="0" quotePrefix="1" applyFont="1" applyFill="1" applyBorder="1" applyAlignment="1">
      <alignment horizontal="left" vertical="center"/>
    </xf>
    <xf numFmtId="0" fontId="4" fillId="4" borderId="14" xfId="0" applyFont="1" applyFill="1" applyBorder="1" applyAlignment="1">
      <alignment horizontal="left" vertical="center"/>
    </xf>
    <xf numFmtId="0" fontId="0" fillId="4" borderId="14" xfId="0" applyFill="1" applyBorder="1"/>
    <xf numFmtId="49" fontId="4" fillId="4" borderId="14" xfId="0" applyNumberFormat="1" applyFont="1" applyFill="1" applyBorder="1" applyAlignment="1">
      <alignment horizontal="left" vertical="center"/>
    </xf>
    <xf numFmtId="0" fontId="4" fillId="2" borderId="9" xfId="0" applyNumberFormat="1" applyFont="1" applyFill="1" applyBorder="1" applyAlignment="1">
      <alignment horizontal="left" vertical="center"/>
    </xf>
    <xf numFmtId="0" fontId="4" fillId="2" borderId="8" xfId="0" applyNumberFormat="1" applyFont="1" applyFill="1" applyBorder="1" applyAlignment="1">
      <alignment horizontal="left" vertical="center"/>
    </xf>
    <xf numFmtId="0" fontId="20" fillId="2" borderId="30" xfId="0" applyNumberFormat="1" applyFont="1" applyFill="1" applyBorder="1" applyAlignment="1">
      <alignment horizontal="left" vertical="center"/>
    </xf>
    <xf numFmtId="0" fontId="4" fillId="0" borderId="1" xfId="0" quotePrefix="1" applyNumberFormat="1" applyFont="1" applyBorder="1"/>
    <xf numFmtId="0" fontId="23" fillId="2" borderId="1" xfId="0" quotePrefix="1" applyNumberFormat="1" applyFont="1" applyFill="1" applyBorder="1" applyAlignment="1">
      <alignment horizontal="left" vertical="center"/>
    </xf>
    <xf numFmtId="0" fontId="20" fillId="0" borderId="11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20" fillId="0" borderId="0" xfId="0" applyFont="1" applyBorder="1" applyAlignment="1">
      <alignment vertical="center" wrapText="1"/>
    </xf>
    <xf numFmtId="0" fontId="4" fillId="2" borderId="11" xfId="0" quotePrefix="1" applyFont="1" applyFill="1" applyBorder="1" applyAlignment="1">
      <alignment horizontal="center" vertical="center"/>
    </xf>
    <xf numFmtId="3" fontId="4" fillId="2" borderId="1" xfId="0" quotePrefix="1" applyNumberFormat="1" applyFont="1" applyFill="1" applyBorder="1" applyAlignment="1">
      <alignment horizontal="left" vertical="center"/>
    </xf>
    <xf numFmtId="164" fontId="4" fillId="2" borderId="15" xfId="1" quotePrefix="1" applyNumberFormat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right" vertical="center"/>
    </xf>
    <xf numFmtId="0" fontId="9" fillId="0" borderId="0" xfId="0" applyFont="1" applyAlignment="1">
      <alignment horizontal="center"/>
    </xf>
    <xf numFmtId="0" fontId="7" fillId="0" borderId="17" xfId="0" applyFont="1" applyBorder="1" applyAlignment="1">
      <alignment horizontal="center" wrapText="1"/>
    </xf>
    <xf numFmtId="0" fontId="7" fillId="0" borderId="15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/>
    </xf>
    <xf numFmtId="0" fontId="6" fillId="0" borderId="1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11" xfId="0" applyFont="1" applyBorder="1" applyAlignment="1">
      <alignment horizontal="center" wrapText="1"/>
    </xf>
    <xf numFmtId="0" fontId="7" fillId="0" borderId="15" xfId="0" applyFont="1" applyBorder="1" applyAlignment="1">
      <alignment horizontal="center" wrapText="1"/>
    </xf>
    <xf numFmtId="0" fontId="7" fillId="0" borderId="0" xfId="0" applyFont="1" applyAlignment="1">
      <alignment horizontal="left"/>
    </xf>
    <xf numFmtId="0" fontId="9" fillId="0" borderId="0" xfId="0" applyFont="1" applyAlignment="1"/>
    <xf numFmtId="0" fontId="10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0" borderId="15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wrapText="1"/>
    </xf>
    <xf numFmtId="0" fontId="7" fillId="0" borderId="15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0" borderId="1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top"/>
    </xf>
    <xf numFmtId="0" fontId="7" fillId="0" borderId="11" xfId="0" applyFont="1" applyBorder="1" applyAlignment="1">
      <alignment horizontal="center" wrapText="1"/>
    </xf>
    <xf numFmtId="0" fontId="7" fillId="0" borderId="15" xfId="0" applyFont="1" applyBorder="1" applyAlignment="1">
      <alignment horizontal="center" wrapText="1"/>
    </xf>
    <xf numFmtId="0" fontId="7" fillId="0" borderId="0" xfId="0" applyFont="1" applyAlignment="1">
      <alignment horizontal="left"/>
    </xf>
    <xf numFmtId="4" fontId="4" fillId="2" borderId="8" xfId="1" applyNumberFormat="1" applyFont="1" applyFill="1" applyBorder="1" applyAlignment="1">
      <alignment vertical="center"/>
    </xf>
    <xf numFmtId="0" fontId="7" fillId="0" borderId="24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22" xfId="0" applyFont="1" applyBorder="1"/>
    <xf numFmtId="0" fontId="4" fillId="0" borderId="19" xfId="0" applyFont="1" applyBorder="1"/>
    <xf numFmtId="0" fontId="7" fillId="0" borderId="15" xfId="0" applyFont="1" applyBorder="1" applyAlignment="1">
      <alignment horizont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3" fontId="7" fillId="0" borderId="15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3" fontId="7" fillId="0" borderId="17" xfId="0" applyNumberFormat="1" applyFont="1" applyBorder="1" applyAlignment="1">
      <alignment horizontal="center" vertical="center" wrapText="1"/>
    </xf>
    <xf numFmtId="3" fontId="7" fillId="0" borderId="15" xfId="0" applyNumberFormat="1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wrapText="1"/>
    </xf>
    <xf numFmtId="0" fontId="7" fillId="0" borderId="11" xfId="0" applyFont="1" applyBorder="1" applyAlignment="1">
      <alignment horizontal="center" wrapText="1"/>
    </xf>
    <xf numFmtId="0" fontId="7" fillId="0" borderId="15" xfId="0" applyFont="1" applyBorder="1" applyAlignment="1">
      <alignment horizontal="center" wrapText="1"/>
    </xf>
    <xf numFmtId="0" fontId="6" fillId="0" borderId="17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7" xfId="0" applyFont="1" applyBorder="1" applyAlignment="1">
      <alignment horizontal="left" wrapText="1"/>
    </xf>
    <xf numFmtId="0" fontId="7" fillId="0" borderId="11" xfId="0" applyFont="1" applyBorder="1" applyAlignment="1">
      <alignment horizontal="left" wrapText="1"/>
    </xf>
    <xf numFmtId="0" fontId="7" fillId="0" borderId="15" xfId="0" applyFont="1" applyBorder="1" applyAlignment="1">
      <alignment horizontal="left" wrapText="1"/>
    </xf>
    <xf numFmtId="0" fontId="7" fillId="0" borderId="16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26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justify"/>
    </xf>
    <xf numFmtId="0" fontId="7" fillId="0" borderId="11" xfId="0" applyFont="1" applyBorder="1" applyAlignment="1">
      <alignment horizontal="center" vertical="justify"/>
    </xf>
    <xf numFmtId="0" fontId="7" fillId="0" borderId="15" xfId="0" applyFont="1" applyBorder="1" applyAlignment="1">
      <alignment horizontal="center" vertical="justify"/>
    </xf>
    <xf numFmtId="0" fontId="7" fillId="0" borderId="11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3" fontId="7" fillId="0" borderId="11" xfId="0" applyNumberFormat="1" applyFont="1" applyBorder="1" applyAlignment="1">
      <alignment horizontal="center" wrapText="1"/>
    </xf>
    <xf numFmtId="3" fontId="7" fillId="0" borderId="15" xfId="0" applyNumberFormat="1" applyFont="1" applyBorder="1" applyAlignment="1">
      <alignment horizontal="center" wrapText="1"/>
    </xf>
    <xf numFmtId="3" fontId="7" fillId="0" borderId="6" xfId="0" applyNumberFormat="1" applyFont="1" applyBorder="1" applyAlignment="1">
      <alignment horizontal="center" wrapText="1"/>
    </xf>
    <xf numFmtId="3" fontId="7" fillId="0" borderId="23" xfId="0" applyNumberFormat="1" applyFont="1" applyBorder="1" applyAlignment="1">
      <alignment horizontal="center" wrapText="1"/>
    </xf>
    <xf numFmtId="0" fontId="4" fillId="0" borderId="6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23" xfId="0" applyFont="1" applyBorder="1" applyAlignment="1">
      <alignment horizontal="left"/>
    </xf>
    <xf numFmtId="0" fontId="4" fillId="0" borderId="25" xfId="0" applyFont="1" applyBorder="1" applyAlignment="1">
      <alignment horizontal="left"/>
    </xf>
    <xf numFmtId="0" fontId="4" fillId="0" borderId="24" xfId="0" applyFont="1" applyBorder="1" applyAlignment="1">
      <alignment horizontal="left"/>
    </xf>
    <xf numFmtId="0" fontId="1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164" fontId="7" fillId="0" borderId="22" xfId="0" quotePrefix="1" applyNumberFormat="1" applyFont="1" applyBorder="1" applyAlignment="1">
      <alignment horizontal="left" vertical="justify"/>
    </xf>
    <xf numFmtId="164" fontId="7" fillId="0" borderId="22" xfId="0" applyNumberFormat="1" applyFont="1" applyBorder="1" applyAlignment="1">
      <alignment horizontal="left" vertical="justify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0" borderId="0" xfId="0" applyFont="1" applyBorder="1" applyAlignment="1">
      <alignment horizontal="center" vertical="top"/>
    </xf>
    <xf numFmtId="0" fontId="7" fillId="0" borderId="21" xfId="0" applyFont="1" applyBorder="1" applyAlignment="1">
      <alignment horizontal="center"/>
    </xf>
    <xf numFmtId="0" fontId="7" fillId="0" borderId="18" xfId="0" applyFont="1" applyBorder="1" applyAlignment="1">
      <alignment horizontal="center" vertical="top"/>
    </xf>
    <xf numFmtId="0" fontId="4" fillId="0" borderId="22" xfId="0" applyFont="1" applyBorder="1"/>
    <xf numFmtId="0" fontId="4" fillId="0" borderId="19" xfId="0" applyFont="1" applyBorder="1"/>
    <xf numFmtId="0" fontId="10" fillId="0" borderId="15" xfId="0" applyFont="1" applyBorder="1" applyAlignment="1"/>
    <xf numFmtId="0" fontId="11" fillId="0" borderId="0" xfId="0" applyFont="1" applyAlignment="1">
      <alignment horizontal="left"/>
    </xf>
    <xf numFmtId="0" fontId="11" fillId="0" borderId="0" xfId="0" applyFont="1" applyAlignment="1">
      <alignment horizontal="center" vertical="top"/>
    </xf>
    <xf numFmtId="0" fontId="7" fillId="0" borderId="14" xfId="0" applyFont="1" applyBorder="1" applyAlignment="1">
      <alignment horizontal="center" wrapText="1"/>
    </xf>
    <xf numFmtId="0" fontId="7" fillId="0" borderId="14" xfId="0" applyFont="1" applyBorder="1" applyAlignment="1">
      <alignment horizontal="center"/>
    </xf>
    <xf numFmtId="0" fontId="4" fillId="0" borderId="0" xfId="0" applyNumberFormat="1" applyFont="1" applyAlignment="1">
      <alignment horizontal="center"/>
    </xf>
    <xf numFmtId="0" fontId="7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4" fillId="0" borderId="0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5" fillId="0" borderId="0" xfId="0" applyFont="1" applyBorder="1" applyAlignment="1">
      <alignment horizontal="right"/>
    </xf>
    <xf numFmtId="0" fontId="7" fillId="0" borderId="15" xfId="0" applyFont="1" applyBorder="1" applyAlignment="1">
      <alignment horizontal="right" vertical="center" wrapText="1"/>
    </xf>
    <xf numFmtId="0" fontId="19" fillId="0" borderId="19" xfId="0" applyFont="1" applyBorder="1" applyAlignment="1">
      <alignment horizontal="center"/>
    </xf>
    <xf numFmtId="0" fontId="19" fillId="0" borderId="23" xfId="0" applyFont="1" applyBorder="1" applyAlignment="1">
      <alignment horizontal="center"/>
    </xf>
    <xf numFmtId="0" fontId="19" fillId="0" borderId="24" xfId="0" applyFont="1" applyBorder="1" applyAlignment="1">
      <alignment horizontal="center"/>
    </xf>
    <xf numFmtId="0" fontId="7" fillId="0" borderId="17" xfId="0" applyFont="1" applyBorder="1" applyAlignment="1">
      <alignment horizontal="right" vertical="center" wrapText="1"/>
    </xf>
    <xf numFmtId="3" fontId="4" fillId="0" borderId="0" xfId="0" applyNumberFormat="1" applyFont="1" applyAlignment="1">
      <alignment horizontal="center"/>
    </xf>
    <xf numFmtId="3" fontId="4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/>
    </xf>
    <xf numFmtId="0" fontId="7" fillId="0" borderId="20" xfId="0" applyFont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15"/>
  <sheetViews>
    <sheetView tabSelected="1" workbookViewId="0">
      <pane ySplit="7" topLeftCell="A8" activePane="bottomLeft" state="frozen"/>
      <selection activeCell="W62" sqref="W62"/>
      <selection pane="bottomLeft" activeCell="X5" sqref="X5:X7"/>
    </sheetView>
  </sheetViews>
  <sheetFormatPr defaultColWidth="9.109375" defaultRowHeight="13.2" outlineLevelCol="1" x14ac:dyDescent="0.25"/>
  <cols>
    <col min="1" max="1" width="2.6640625" style="328" customWidth="1"/>
    <col min="2" max="2" width="8" style="328" customWidth="1"/>
    <col min="3" max="3" width="17" style="37" customWidth="1"/>
    <col min="4" max="4" width="7" style="37" customWidth="1"/>
    <col min="5" max="5" width="13.5546875" style="37" customWidth="1"/>
    <col min="6" max="6" width="17.44140625" style="419" customWidth="1" outlineLevel="1"/>
    <col min="7" max="7" width="12" style="421" customWidth="1"/>
    <col min="8" max="8" width="13.44140625" style="421" customWidth="1"/>
    <col min="9" max="9" width="13.44140625" style="424" customWidth="1"/>
    <col min="10" max="10" width="11.6640625" style="424" customWidth="1"/>
    <col min="11" max="11" width="14.5546875" style="424" customWidth="1"/>
    <col min="12" max="12" width="11.6640625" style="424" customWidth="1"/>
    <col min="13" max="13" width="13.5546875" style="421" customWidth="1"/>
    <col min="14" max="14" width="11" style="421" customWidth="1"/>
    <col min="15" max="15" width="10.109375" style="421" customWidth="1"/>
    <col min="16" max="16" width="10" style="421" customWidth="1"/>
    <col min="17" max="17" width="12.109375" style="421" customWidth="1"/>
    <col min="18" max="18" width="10.21875" style="421" bestFit="1" customWidth="1" outlineLevel="1"/>
    <col min="19" max="19" width="9.5546875" style="432" bestFit="1" customWidth="1" outlineLevel="1"/>
    <col min="20" max="20" width="8.77734375" style="421" bestFit="1" customWidth="1" outlineLevel="1"/>
    <col min="21" max="21" width="12" style="433" bestFit="1" customWidth="1"/>
    <col min="22" max="22" width="13.5546875" style="421" bestFit="1" customWidth="1"/>
    <col min="23" max="23" width="11.33203125" style="37" customWidth="1"/>
    <col min="24" max="24" width="3.6640625" style="45" customWidth="1"/>
    <col min="25" max="25" width="16.88671875" style="37" customWidth="1"/>
    <col min="26" max="26" width="7" style="37" customWidth="1"/>
    <col min="27" max="27" width="14.5546875" style="37" customWidth="1"/>
    <col min="28" max="35" width="9.109375" style="37"/>
    <col min="36" max="36" width="20.5546875" style="37" customWidth="1"/>
    <col min="37" max="37" width="12.109375" style="37" customWidth="1"/>
    <col min="38" max="16384" width="9.109375" style="37"/>
  </cols>
  <sheetData>
    <row r="1" spans="1:37" x14ac:dyDescent="0.25">
      <c r="C1" s="37" t="s">
        <v>118</v>
      </c>
    </row>
    <row r="2" spans="1:37" ht="15.6" x14ac:dyDescent="0.3">
      <c r="A2" s="350" t="s">
        <v>14</v>
      </c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 t="s">
        <v>14</v>
      </c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</row>
    <row r="3" spans="1:37" ht="17.399999999999999" x14ac:dyDescent="0.3">
      <c r="A3" s="351" t="s">
        <v>2192</v>
      </c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1"/>
      <c r="R3" s="351"/>
      <c r="S3" s="351"/>
      <c r="T3" s="351"/>
      <c r="U3" s="351"/>
      <c r="V3" s="351"/>
      <c r="W3" s="351"/>
      <c r="X3" s="352" t="s">
        <v>2193</v>
      </c>
      <c r="Y3" s="352"/>
      <c r="Z3" s="352"/>
      <c r="AA3" s="352"/>
      <c r="AB3" s="352"/>
      <c r="AC3" s="352"/>
      <c r="AD3" s="352"/>
      <c r="AE3" s="352"/>
      <c r="AF3" s="352"/>
      <c r="AG3" s="352"/>
      <c r="AH3" s="352"/>
      <c r="AI3" s="352"/>
      <c r="AJ3" s="352"/>
      <c r="AK3" s="352"/>
    </row>
    <row r="4" spans="1:37" ht="7.5" customHeight="1" x14ac:dyDescent="0.35">
      <c r="A4" s="327"/>
      <c r="B4" s="327"/>
      <c r="C4" s="327"/>
      <c r="D4" s="327"/>
      <c r="E4" s="327"/>
      <c r="F4" s="420"/>
      <c r="G4" s="422"/>
      <c r="H4" s="422"/>
      <c r="I4" s="425"/>
      <c r="J4" s="425"/>
      <c r="K4" s="425"/>
      <c r="L4" s="425"/>
      <c r="M4" s="422"/>
      <c r="N4" s="422"/>
      <c r="O4" s="422"/>
      <c r="P4" s="422"/>
      <c r="Q4" s="422"/>
      <c r="R4" s="422"/>
      <c r="S4" s="123"/>
      <c r="T4" s="422"/>
      <c r="U4" s="434"/>
      <c r="V4" s="422"/>
      <c r="W4" s="327"/>
    </row>
    <row r="5" spans="1:37" ht="14.25" customHeight="1" x14ac:dyDescent="0.25">
      <c r="A5" s="357" t="s">
        <v>47</v>
      </c>
      <c r="B5" s="335" t="s">
        <v>2195</v>
      </c>
      <c r="C5" s="338" t="s">
        <v>116</v>
      </c>
      <c r="D5" s="339"/>
      <c r="E5" s="344" t="s">
        <v>7</v>
      </c>
      <c r="F5" s="335" t="s">
        <v>2194</v>
      </c>
      <c r="G5" s="335" t="s">
        <v>509</v>
      </c>
      <c r="H5" s="335" t="s">
        <v>12</v>
      </c>
      <c r="I5" s="353" t="s">
        <v>505</v>
      </c>
      <c r="J5" s="354"/>
      <c r="K5" s="349" t="s">
        <v>2189</v>
      </c>
      <c r="L5" s="428"/>
      <c r="M5" s="335" t="s">
        <v>2190</v>
      </c>
      <c r="N5" s="369" t="s">
        <v>13</v>
      </c>
      <c r="O5" s="370"/>
      <c r="P5" s="370"/>
      <c r="Q5" s="370"/>
      <c r="R5" s="370"/>
      <c r="S5" s="370"/>
      <c r="T5" s="370"/>
      <c r="U5" s="435"/>
      <c r="V5" s="360" t="s">
        <v>117</v>
      </c>
      <c r="W5" s="335" t="s">
        <v>15</v>
      </c>
      <c r="X5" s="366" t="s">
        <v>47</v>
      </c>
      <c r="Y5" s="338" t="s">
        <v>116</v>
      </c>
      <c r="Z5" s="339"/>
      <c r="AA5" s="363" t="s">
        <v>7</v>
      </c>
      <c r="AB5" s="124"/>
      <c r="AC5" s="329"/>
      <c r="AD5" s="329"/>
      <c r="AE5" s="329"/>
      <c r="AF5" s="329"/>
      <c r="AG5" s="329"/>
      <c r="AH5" s="329"/>
      <c r="AI5" s="329"/>
      <c r="AJ5" s="329"/>
      <c r="AK5" s="330"/>
    </row>
    <row r="6" spans="1:37" ht="16.5" customHeight="1" x14ac:dyDescent="0.25">
      <c r="A6" s="358"/>
      <c r="B6" s="336"/>
      <c r="C6" s="340"/>
      <c r="D6" s="341"/>
      <c r="E6" s="348"/>
      <c r="F6" s="348"/>
      <c r="G6" s="348"/>
      <c r="H6" s="336"/>
      <c r="I6" s="355"/>
      <c r="J6" s="356"/>
      <c r="K6" s="429"/>
      <c r="L6" s="430"/>
      <c r="M6" s="348"/>
      <c r="N6" s="348" t="s">
        <v>17</v>
      </c>
      <c r="O6" s="348" t="s">
        <v>18</v>
      </c>
      <c r="P6" s="371" t="s">
        <v>9</v>
      </c>
      <c r="Q6" s="344" t="s">
        <v>56</v>
      </c>
      <c r="R6" s="431" t="s">
        <v>83</v>
      </c>
      <c r="S6" s="138" t="s">
        <v>8</v>
      </c>
      <c r="T6" s="332" t="s">
        <v>82</v>
      </c>
      <c r="U6" s="346" t="s">
        <v>86</v>
      </c>
      <c r="V6" s="361"/>
      <c r="W6" s="336"/>
      <c r="X6" s="367"/>
      <c r="Y6" s="340"/>
      <c r="Z6" s="341"/>
      <c r="AA6" s="364"/>
      <c r="AB6" s="125"/>
      <c r="AC6" s="44"/>
      <c r="AD6" s="44"/>
      <c r="AE6" s="44"/>
      <c r="AF6" s="44"/>
      <c r="AG6" s="44"/>
      <c r="AH6" s="44"/>
      <c r="AI6" s="44"/>
      <c r="AJ6" s="44"/>
      <c r="AK6" s="126"/>
    </row>
    <row r="7" spans="1:37" ht="25.5" customHeight="1" x14ac:dyDescent="0.25">
      <c r="A7" s="359"/>
      <c r="B7" s="337"/>
      <c r="C7" s="342"/>
      <c r="D7" s="343"/>
      <c r="E7" s="345"/>
      <c r="F7" s="345"/>
      <c r="G7" s="345"/>
      <c r="H7" s="337"/>
      <c r="I7" s="127" t="s">
        <v>508</v>
      </c>
      <c r="J7" s="128" t="s">
        <v>506</v>
      </c>
      <c r="K7" s="331" t="s">
        <v>2191</v>
      </c>
      <c r="L7" s="333" t="s">
        <v>506</v>
      </c>
      <c r="M7" s="345"/>
      <c r="N7" s="345"/>
      <c r="O7" s="345"/>
      <c r="P7" s="372"/>
      <c r="Q7" s="345"/>
      <c r="R7" s="427" t="s">
        <v>108</v>
      </c>
      <c r="S7" s="334" t="s">
        <v>5</v>
      </c>
      <c r="T7" s="333" t="s">
        <v>104</v>
      </c>
      <c r="U7" s="347"/>
      <c r="V7" s="362"/>
      <c r="W7" s="337"/>
      <c r="X7" s="368"/>
      <c r="Y7" s="342"/>
      <c r="Z7" s="343"/>
      <c r="AA7" s="365"/>
      <c r="AB7" s="129"/>
      <c r="AC7" s="130"/>
      <c r="AD7" s="130"/>
      <c r="AE7" s="130"/>
      <c r="AF7" s="130"/>
      <c r="AG7" s="130"/>
      <c r="AH7" s="130"/>
      <c r="AI7" s="130"/>
      <c r="AJ7" s="130"/>
      <c r="AK7" s="131"/>
    </row>
    <row r="10" spans="1:37" x14ac:dyDescent="0.25">
      <c r="H10" s="423"/>
      <c r="I10" s="426"/>
    </row>
    <row r="11" spans="1:37" x14ac:dyDescent="0.25">
      <c r="H11" s="423"/>
      <c r="I11" s="426"/>
    </row>
    <row r="12" spans="1:37" x14ac:dyDescent="0.25">
      <c r="H12" s="423"/>
      <c r="I12" s="426"/>
    </row>
    <row r="13" spans="1:37" x14ac:dyDescent="0.25">
      <c r="H13" s="423"/>
      <c r="I13" s="426"/>
    </row>
    <row r="14" spans="1:37" x14ac:dyDescent="0.25">
      <c r="H14" s="423"/>
      <c r="I14" s="426"/>
    </row>
    <row r="15" spans="1:37" x14ac:dyDescent="0.25">
      <c r="H15" s="423"/>
      <c r="I15" s="426"/>
    </row>
  </sheetData>
  <mergeCells count="25">
    <mergeCell ref="A2:W2"/>
    <mergeCell ref="X2:AK2"/>
    <mergeCell ref="A3:W3"/>
    <mergeCell ref="X3:AK3"/>
    <mergeCell ref="I5:J6"/>
    <mergeCell ref="A5:A7"/>
    <mergeCell ref="V5:V7"/>
    <mergeCell ref="AA5:AA7"/>
    <mergeCell ref="N6:N7"/>
    <mergeCell ref="O6:O7"/>
    <mergeCell ref="W5:W7"/>
    <mergeCell ref="X5:X7"/>
    <mergeCell ref="N5:T5"/>
    <mergeCell ref="H5:H7"/>
    <mergeCell ref="P6:P7"/>
    <mergeCell ref="G5:G7"/>
    <mergeCell ref="B5:B7"/>
    <mergeCell ref="Y5:Z7"/>
    <mergeCell ref="Q6:Q7"/>
    <mergeCell ref="U6:U7"/>
    <mergeCell ref="M5:M7"/>
    <mergeCell ref="K5:L6"/>
    <mergeCell ref="C5:D7"/>
    <mergeCell ref="E5:E7"/>
    <mergeCell ref="F5:F7"/>
  </mergeCells>
  <phoneticPr fontId="0" type="noConversion"/>
  <pageMargins left="0" right="0" top="0.39370078740157483" bottom="0.39370078740157483" header="0.51181102362204722" footer="0.51181102362204722"/>
  <pageSetup paperSize="9" scale="74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03"/>
  <sheetViews>
    <sheetView topLeftCell="B18" workbookViewId="0">
      <selection activeCell="E22" sqref="E22"/>
    </sheetView>
  </sheetViews>
  <sheetFormatPr defaultColWidth="42.5546875" defaultRowHeight="13.2" x14ac:dyDescent="0.25"/>
  <cols>
    <col min="2" max="2" width="20.33203125" bestFit="1" customWidth="1"/>
    <col min="3" max="3" width="27.88671875" bestFit="1" customWidth="1"/>
    <col min="4" max="4" width="13.109375" style="228" customWidth="1"/>
    <col min="5" max="5" width="18.33203125" style="224" customWidth="1"/>
  </cols>
  <sheetData>
    <row r="1" spans="1:5" x14ac:dyDescent="0.25">
      <c r="A1" s="197">
        <v>1</v>
      </c>
      <c r="B1" s="198" t="s">
        <v>799</v>
      </c>
      <c r="C1" s="226" t="s">
        <v>800</v>
      </c>
      <c r="D1" s="239" t="s">
        <v>227</v>
      </c>
      <c r="E1" s="222" t="s">
        <v>801</v>
      </c>
    </row>
    <row r="2" spans="1:5" x14ac:dyDescent="0.25">
      <c r="A2" s="197">
        <v>2</v>
      </c>
      <c r="B2" s="198" t="s">
        <v>802</v>
      </c>
      <c r="C2" s="226" t="s">
        <v>803</v>
      </c>
      <c r="D2" s="239" t="s">
        <v>475</v>
      </c>
      <c r="E2" s="222" t="s">
        <v>804</v>
      </c>
    </row>
    <row r="3" spans="1:5" x14ac:dyDescent="0.25">
      <c r="A3" s="197">
        <v>3</v>
      </c>
      <c r="B3" s="198" t="s">
        <v>805</v>
      </c>
      <c r="C3" s="226" t="s">
        <v>806</v>
      </c>
      <c r="D3" s="239" t="s">
        <v>380</v>
      </c>
      <c r="E3" s="222" t="s">
        <v>807</v>
      </c>
    </row>
    <row r="4" spans="1:5" x14ac:dyDescent="0.25">
      <c r="A4" s="197">
        <v>4</v>
      </c>
      <c r="B4" s="198" t="s">
        <v>808</v>
      </c>
      <c r="C4" s="226" t="s">
        <v>809</v>
      </c>
      <c r="D4" s="239" t="s">
        <v>296</v>
      </c>
      <c r="E4" s="222" t="s">
        <v>810</v>
      </c>
    </row>
    <row r="5" spans="1:5" x14ac:dyDescent="0.25">
      <c r="A5" s="197">
        <v>5</v>
      </c>
      <c r="B5" s="198" t="s">
        <v>811</v>
      </c>
      <c r="C5" s="226" t="s">
        <v>812</v>
      </c>
      <c r="D5" s="239" t="s">
        <v>269</v>
      </c>
      <c r="E5" s="222" t="s">
        <v>813</v>
      </c>
    </row>
    <row r="6" spans="1:5" x14ac:dyDescent="0.25">
      <c r="A6" s="197">
        <v>6</v>
      </c>
      <c r="B6" s="198" t="s">
        <v>814</v>
      </c>
      <c r="C6" s="226" t="s">
        <v>815</v>
      </c>
      <c r="D6" s="239" t="s">
        <v>718</v>
      </c>
      <c r="E6" s="222" t="s">
        <v>816</v>
      </c>
    </row>
    <row r="7" spans="1:5" x14ac:dyDescent="0.25">
      <c r="A7" s="197">
        <v>7</v>
      </c>
      <c r="B7" s="198" t="s">
        <v>817</v>
      </c>
      <c r="C7" s="226" t="s">
        <v>818</v>
      </c>
      <c r="D7" s="239" t="s">
        <v>542</v>
      </c>
      <c r="E7" s="222" t="s">
        <v>819</v>
      </c>
    </row>
    <row r="8" spans="1:5" x14ac:dyDescent="0.25">
      <c r="A8" s="197">
        <v>8</v>
      </c>
      <c r="B8" s="198" t="s">
        <v>820</v>
      </c>
      <c r="C8" s="226" t="s">
        <v>821</v>
      </c>
      <c r="D8" s="239" t="s">
        <v>273</v>
      </c>
      <c r="E8" s="222" t="s">
        <v>822</v>
      </c>
    </row>
    <row r="9" spans="1:5" x14ac:dyDescent="0.25">
      <c r="A9" s="197">
        <v>9</v>
      </c>
      <c r="B9" s="198" t="s">
        <v>823</v>
      </c>
      <c r="C9" s="226" t="s">
        <v>824</v>
      </c>
      <c r="D9" s="239" t="s">
        <v>1391</v>
      </c>
      <c r="E9" s="222" t="s">
        <v>825</v>
      </c>
    </row>
    <row r="10" spans="1:5" x14ac:dyDescent="0.25">
      <c r="A10" s="197">
        <v>10</v>
      </c>
      <c r="B10" s="198" t="s">
        <v>826</v>
      </c>
      <c r="C10" s="226" t="s">
        <v>827</v>
      </c>
      <c r="D10" s="239" t="s">
        <v>311</v>
      </c>
      <c r="E10" s="222" t="s">
        <v>828</v>
      </c>
    </row>
    <row r="11" spans="1:5" x14ac:dyDescent="0.25">
      <c r="A11" s="197">
        <v>11</v>
      </c>
      <c r="B11" s="198" t="s">
        <v>829</v>
      </c>
      <c r="C11" s="226" t="s">
        <v>830</v>
      </c>
      <c r="D11" s="239" t="s">
        <v>218</v>
      </c>
      <c r="E11" s="222" t="s">
        <v>831</v>
      </c>
    </row>
    <row r="12" spans="1:5" x14ac:dyDescent="0.25">
      <c r="A12" s="197">
        <v>12</v>
      </c>
      <c r="B12" s="198" t="s">
        <v>832</v>
      </c>
      <c r="C12" s="226" t="s">
        <v>833</v>
      </c>
      <c r="D12" s="239" t="s">
        <v>222</v>
      </c>
      <c r="E12" s="222" t="s">
        <v>834</v>
      </c>
    </row>
    <row r="13" spans="1:5" x14ac:dyDescent="0.25">
      <c r="A13" s="197">
        <v>13</v>
      </c>
      <c r="B13" s="198" t="s">
        <v>835</v>
      </c>
      <c r="C13" s="226" t="s">
        <v>836</v>
      </c>
      <c r="D13" s="239" t="s">
        <v>532</v>
      </c>
      <c r="E13" s="222" t="s">
        <v>837</v>
      </c>
    </row>
    <row r="14" spans="1:5" x14ac:dyDescent="0.25">
      <c r="A14" s="197">
        <v>14</v>
      </c>
      <c r="B14" s="198" t="s">
        <v>838</v>
      </c>
      <c r="C14" s="226" t="s">
        <v>839</v>
      </c>
      <c r="D14" s="239" t="s">
        <v>263</v>
      </c>
      <c r="E14" s="222" t="s">
        <v>840</v>
      </c>
    </row>
    <row r="15" spans="1:5" x14ac:dyDescent="0.25">
      <c r="A15" s="197">
        <v>15</v>
      </c>
      <c r="B15" s="198" t="s">
        <v>841</v>
      </c>
      <c r="C15" s="226" t="s">
        <v>842</v>
      </c>
      <c r="D15" s="239" t="s">
        <v>267</v>
      </c>
      <c r="E15" s="222" t="s">
        <v>843</v>
      </c>
    </row>
    <row r="16" spans="1:5" x14ac:dyDescent="0.25">
      <c r="A16" s="197">
        <v>16</v>
      </c>
      <c r="B16" s="198" t="s">
        <v>844</v>
      </c>
      <c r="C16" s="226" t="s">
        <v>845</v>
      </c>
      <c r="D16" s="239" t="s">
        <v>707</v>
      </c>
      <c r="E16" s="222" t="s">
        <v>846</v>
      </c>
    </row>
    <row r="17" spans="1:5" x14ac:dyDescent="0.25">
      <c r="A17" s="197">
        <v>17</v>
      </c>
      <c r="B17" s="198" t="s">
        <v>847</v>
      </c>
      <c r="C17" s="226" t="s">
        <v>848</v>
      </c>
      <c r="D17" s="239" t="s">
        <v>275</v>
      </c>
      <c r="E17" s="222" t="s">
        <v>849</v>
      </c>
    </row>
    <row r="18" spans="1:5" x14ac:dyDescent="0.25">
      <c r="A18" s="197">
        <v>18</v>
      </c>
      <c r="B18" s="198" t="s">
        <v>850</v>
      </c>
      <c r="C18" s="226" t="s">
        <v>851</v>
      </c>
      <c r="D18" s="239" t="s">
        <v>373</v>
      </c>
      <c r="E18" s="222" t="s">
        <v>852</v>
      </c>
    </row>
    <row r="19" spans="1:5" x14ac:dyDescent="0.25">
      <c r="A19" s="197">
        <v>19</v>
      </c>
      <c r="B19" s="198" t="s">
        <v>853</v>
      </c>
      <c r="C19" s="226" t="s">
        <v>854</v>
      </c>
      <c r="D19" s="239" t="s">
        <v>399</v>
      </c>
      <c r="E19" s="222" t="s">
        <v>855</v>
      </c>
    </row>
    <row r="20" spans="1:5" x14ac:dyDescent="0.25">
      <c r="A20" s="197">
        <v>20</v>
      </c>
      <c r="B20" s="198" t="s">
        <v>856</v>
      </c>
      <c r="C20" s="226" t="s">
        <v>857</v>
      </c>
      <c r="D20" s="239" t="s">
        <v>739</v>
      </c>
      <c r="E20" s="222" t="s">
        <v>858</v>
      </c>
    </row>
    <row r="21" spans="1:5" x14ac:dyDescent="0.25">
      <c r="A21" s="197">
        <v>21</v>
      </c>
      <c r="B21" s="198" t="s">
        <v>859</v>
      </c>
      <c r="C21" s="226" t="s">
        <v>860</v>
      </c>
      <c r="D21" s="239" t="s">
        <v>198</v>
      </c>
      <c r="E21" s="222" t="s">
        <v>861</v>
      </c>
    </row>
    <row r="22" spans="1:5" x14ac:dyDescent="0.25">
      <c r="A22" s="197">
        <v>22</v>
      </c>
      <c r="B22" s="198" t="s">
        <v>862</v>
      </c>
      <c r="C22" s="226" t="s">
        <v>863</v>
      </c>
      <c r="D22" s="239" t="s">
        <v>1392</v>
      </c>
      <c r="E22" s="222" t="s">
        <v>864</v>
      </c>
    </row>
    <row r="23" spans="1:5" x14ac:dyDescent="0.25">
      <c r="A23" s="197">
        <v>23</v>
      </c>
      <c r="B23" s="198" t="s">
        <v>865</v>
      </c>
      <c r="C23" s="226" t="s">
        <v>866</v>
      </c>
      <c r="D23" s="239" t="s">
        <v>214</v>
      </c>
      <c r="E23" s="222" t="s">
        <v>867</v>
      </c>
    </row>
    <row r="24" spans="1:5" x14ac:dyDescent="0.25">
      <c r="A24" s="197">
        <v>24</v>
      </c>
      <c r="B24" s="198" t="s">
        <v>868</v>
      </c>
      <c r="C24" s="226" t="s">
        <v>869</v>
      </c>
      <c r="D24" s="239" t="s">
        <v>375</v>
      </c>
      <c r="E24" s="222" t="s">
        <v>870</v>
      </c>
    </row>
    <row r="25" spans="1:5" x14ac:dyDescent="0.25">
      <c r="A25" s="197">
        <v>25</v>
      </c>
      <c r="B25" s="198" t="s">
        <v>871</v>
      </c>
      <c r="C25" s="226" t="s">
        <v>872</v>
      </c>
      <c r="D25" s="239" t="s">
        <v>204</v>
      </c>
      <c r="E25" s="222" t="s">
        <v>873</v>
      </c>
    </row>
    <row r="26" spans="1:5" x14ac:dyDescent="0.25">
      <c r="A26" s="197">
        <v>26</v>
      </c>
      <c r="B26" s="198" t="s">
        <v>874</v>
      </c>
      <c r="C26" s="226" t="s">
        <v>875</v>
      </c>
      <c r="D26" s="239" t="s">
        <v>309</v>
      </c>
      <c r="E26" s="222" t="s">
        <v>876</v>
      </c>
    </row>
    <row r="27" spans="1:5" x14ac:dyDescent="0.25">
      <c r="A27" s="197">
        <v>27</v>
      </c>
      <c r="B27" s="198" t="s">
        <v>877</v>
      </c>
      <c r="C27" s="226" t="s">
        <v>878</v>
      </c>
      <c r="D27" s="239" t="s">
        <v>473</v>
      </c>
      <c r="E27" s="222" t="s">
        <v>879</v>
      </c>
    </row>
    <row r="28" spans="1:5" x14ac:dyDescent="0.25">
      <c r="A28" s="197">
        <v>28</v>
      </c>
      <c r="B28" s="198" t="s">
        <v>880</v>
      </c>
      <c r="C28" s="226" t="s">
        <v>881</v>
      </c>
      <c r="D28" s="239" t="s">
        <v>429</v>
      </c>
      <c r="E28" s="222" t="s">
        <v>882</v>
      </c>
    </row>
    <row r="29" spans="1:5" x14ac:dyDescent="0.25">
      <c r="A29" s="197">
        <v>29</v>
      </c>
      <c r="B29" s="198" t="s">
        <v>883</v>
      </c>
      <c r="C29" s="226" t="s">
        <v>884</v>
      </c>
      <c r="D29" s="239" t="s">
        <v>194</v>
      </c>
      <c r="E29" s="222" t="s">
        <v>885</v>
      </c>
    </row>
    <row r="30" spans="1:5" x14ac:dyDescent="0.25">
      <c r="A30" s="197">
        <v>30</v>
      </c>
      <c r="B30" s="198" t="s">
        <v>886</v>
      </c>
      <c r="C30" s="226" t="s">
        <v>887</v>
      </c>
      <c r="D30" s="239" t="s">
        <v>192</v>
      </c>
      <c r="E30" s="222" t="s">
        <v>888</v>
      </c>
    </row>
    <row r="31" spans="1:5" x14ac:dyDescent="0.25">
      <c r="A31" s="197">
        <v>31</v>
      </c>
      <c r="B31" s="198" t="s">
        <v>889</v>
      </c>
      <c r="C31" s="226" t="s">
        <v>890</v>
      </c>
      <c r="D31" s="239" t="s">
        <v>190</v>
      </c>
      <c r="E31" s="222" t="s">
        <v>891</v>
      </c>
    </row>
    <row r="32" spans="1:5" x14ac:dyDescent="0.25">
      <c r="A32" s="197">
        <v>32</v>
      </c>
      <c r="B32" s="198" t="s">
        <v>892</v>
      </c>
      <c r="C32" s="226" t="s">
        <v>893</v>
      </c>
      <c r="D32" s="239" t="s">
        <v>202</v>
      </c>
      <c r="E32" s="222" t="s">
        <v>894</v>
      </c>
    </row>
    <row r="33" spans="1:5" x14ac:dyDescent="0.25">
      <c r="A33" s="197">
        <v>33</v>
      </c>
      <c r="B33" s="198" t="s">
        <v>895</v>
      </c>
      <c r="C33" s="226" t="s">
        <v>896</v>
      </c>
      <c r="D33" s="239" t="s">
        <v>1393</v>
      </c>
      <c r="E33" s="222" t="s">
        <v>897</v>
      </c>
    </row>
    <row r="34" spans="1:5" x14ac:dyDescent="0.25">
      <c r="A34" s="197">
        <v>34</v>
      </c>
      <c r="B34" s="198" t="s">
        <v>898</v>
      </c>
      <c r="C34" s="226" t="s">
        <v>899</v>
      </c>
      <c r="D34" s="239" t="s">
        <v>668</v>
      </c>
      <c r="E34" s="222" t="s">
        <v>900</v>
      </c>
    </row>
    <row r="35" spans="1:5" x14ac:dyDescent="0.25">
      <c r="A35" s="197">
        <v>35</v>
      </c>
      <c r="B35" s="198" t="s">
        <v>901</v>
      </c>
      <c r="C35" s="226" t="s">
        <v>902</v>
      </c>
      <c r="D35" s="239" t="s">
        <v>1394</v>
      </c>
      <c r="E35" s="222" t="s">
        <v>903</v>
      </c>
    </row>
    <row r="36" spans="1:5" x14ac:dyDescent="0.25">
      <c r="A36" s="197">
        <v>36</v>
      </c>
      <c r="B36" s="198" t="s">
        <v>904</v>
      </c>
      <c r="C36" s="226" t="s">
        <v>905</v>
      </c>
      <c r="D36" s="239" t="s">
        <v>666</v>
      </c>
      <c r="E36" s="222" t="s">
        <v>906</v>
      </c>
    </row>
    <row r="37" spans="1:5" x14ac:dyDescent="0.25">
      <c r="A37" s="197">
        <v>37</v>
      </c>
      <c r="B37" s="198" t="s">
        <v>907</v>
      </c>
      <c r="C37" s="226" t="s">
        <v>908</v>
      </c>
      <c r="D37" s="239" t="s">
        <v>216</v>
      </c>
      <c r="E37" s="222" t="s">
        <v>909</v>
      </c>
    </row>
    <row r="38" spans="1:5" x14ac:dyDescent="0.25">
      <c r="A38" s="197">
        <v>38</v>
      </c>
      <c r="B38" s="198" t="s">
        <v>910</v>
      </c>
      <c r="C38" s="226" t="s">
        <v>911</v>
      </c>
      <c r="D38" s="239" t="s">
        <v>702</v>
      </c>
      <c r="E38" s="222" t="s">
        <v>912</v>
      </c>
    </row>
    <row r="39" spans="1:5" x14ac:dyDescent="0.25">
      <c r="A39" s="197">
        <v>39</v>
      </c>
      <c r="B39" s="198" t="s">
        <v>913</v>
      </c>
      <c r="C39" s="226" t="s">
        <v>914</v>
      </c>
      <c r="D39" s="239" t="s">
        <v>1395</v>
      </c>
      <c r="E39" s="222" t="s">
        <v>915</v>
      </c>
    </row>
    <row r="40" spans="1:5" x14ac:dyDescent="0.25">
      <c r="A40" s="197">
        <v>40</v>
      </c>
      <c r="B40" s="198" t="s">
        <v>916</v>
      </c>
      <c r="C40" s="226" t="s">
        <v>917</v>
      </c>
      <c r="D40" s="239" t="s">
        <v>615</v>
      </c>
      <c r="E40" s="222" t="s">
        <v>918</v>
      </c>
    </row>
    <row r="41" spans="1:5" x14ac:dyDescent="0.25">
      <c r="A41" s="197">
        <v>41</v>
      </c>
      <c r="B41" s="198" t="s">
        <v>919</v>
      </c>
      <c r="C41" s="226" t="s">
        <v>920</v>
      </c>
      <c r="D41" s="239" t="s">
        <v>257</v>
      </c>
      <c r="E41" s="222" t="s">
        <v>921</v>
      </c>
    </row>
    <row r="42" spans="1:5" x14ac:dyDescent="0.25">
      <c r="A42" s="197">
        <v>42</v>
      </c>
      <c r="B42" s="198" t="s">
        <v>922</v>
      </c>
      <c r="C42" s="226" t="s">
        <v>923</v>
      </c>
      <c r="D42" s="239" t="s">
        <v>231</v>
      </c>
      <c r="E42" s="222" t="s">
        <v>924</v>
      </c>
    </row>
    <row r="43" spans="1:5" x14ac:dyDescent="0.25">
      <c r="A43" s="197">
        <v>43</v>
      </c>
      <c r="B43" s="198" t="s">
        <v>925</v>
      </c>
      <c r="C43" s="226" t="s">
        <v>926</v>
      </c>
      <c r="D43" s="239" t="s">
        <v>382</v>
      </c>
      <c r="E43" s="222" t="s">
        <v>927</v>
      </c>
    </row>
    <row r="44" spans="1:5" x14ac:dyDescent="0.25">
      <c r="A44" s="197">
        <v>44</v>
      </c>
      <c r="B44" s="198" t="s">
        <v>928</v>
      </c>
      <c r="C44" s="226" t="s">
        <v>929</v>
      </c>
      <c r="D44" s="239" t="s">
        <v>1396</v>
      </c>
      <c r="E44" s="222" t="s">
        <v>930</v>
      </c>
    </row>
    <row r="45" spans="1:5" x14ac:dyDescent="0.25">
      <c r="A45" s="197">
        <v>45</v>
      </c>
      <c r="B45" s="198" t="s">
        <v>931</v>
      </c>
      <c r="C45" s="226" t="s">
        <v>932</v>
      </c>
      <c r="D45" s="239" t="s">
        <v>208</v>
      </c>
      <c r="E45" s="222" t="s">
        <v>933</v>
      </c>
    </row>
    <row r="46" spans="1:5" x14ac:dyDescent="0.25">
      <c r="A46" s="197">
        <v>46</v>
      </c>
      <c r="B46" s="198" t="s">
        <v>934</v>
      </c>
      <c r="C46" s="226" t="s">
        <v>935</v>
      </c>
      <c r="D46" s="239" t="s">
        <v>1397</v>
      </c>
      <c r="E46" s="222" t="s">
        <v>936</v>
      </c>
    </row>
    <row r="47" spans="1:5" x14ac:dyDescent="0.25">
      <c r="A47" s="197">
        <v>47</v>
      </c>
      <c r="B47" s="198" t="s">
        <v>937</v>
      </c>
      <c r="C47" s="226" t="s">
        <v>938</v>
      </c>
      <c r="D47" s="239" t="s">
        <v>229</v>
      </c>
      <c r="E47" s="222" t="s">
        <v>939</v>
      </c>
    </row>
    <row r="48" spans="1:5" x14ac:dyDescent="0.25">
      <c r="A48" s="197">
        <v>48</v>
      </c>
      <c r="B48" s="198" t="s">
        <v>940</v>
      </c>
      <c r="C48" s="226" t="s">
        <v>941</v>
      </c>
      <c r="D48" s="239" t="s">
        <v>608</v>
      </c>
      <c r="E48" s="222" t="s">
        <v>942</v>
      </c>
    </row>
    <row r="49" spans="1:5" x14ac:dyDescent="0.25">
      <c r="A49" s="197">
        <v>49</v>
      </c>
      <c r="B49" s="198" t="s">
        <v>943</v>
      </c>
      <c r="C49" s="226" t="s">
        <v>944</v>
      </c>
      <c r="D49" s="239" t="s">
        <v>660</v>
      </c>
      <c r="E49" s="222" t="s">
        <v>945</v>
      </c>
    </row>
    <row r="50" spans="1:5" x14ac:dyDescent="0.25">
      <c r="A50" s="197">
        <v>50</v>
      </c>
      <c r="B50" s="198" t="s">
        <v>946</v>
      </c>
      <c r="C50" s="226" t="s">
        <v>947</v>
      </c>
      <c r="D50" s="239" t="s">
        <v>1398</v>
      </c>
      <c r="E50" s="222" t="s">
        <v>948</v>
      </c>
    </row>
    <row r="51" spans="1:5" x14ac:dyDescent="0.25">
      <c r="A51" s="197">
        <v>51</v>
      </c>
      <c r="B51" s="198" t="s">
        <v>949</v>
      </c>
      <c r="C51" s="226" t="s">
        <v>950</v>
      </c>
      <c r="D51" s="239" t="s">
        <v>450</v>
      </c>
      <c r="E51" s="222" t="s">
        <v>951</v>
      </c>
    </row>
    <row r="52" spans="1:5" x14ac:dyDescent="0.25">
      <c r="A52" s="197">
        <v>52</v>
      </c>
      <c r="B52" s="198" t="s">
        <v>952</v>
      </c>
      <c r="C52" s="226" t="s">
        <v>953</v>
      </c>
      <c r="D52" s="239" t="s">
        <v>1399</v>
      </c>
      <c r="E52" s="222" t="s">
        <v>954</v>
      </c>
    </row>
    <row r="53" spans="1:5" x14ac:dyDescent="0.25">
      <c r="A53" s="197">
        <v>53</v>
      </c>
      <c r="B53" s="198" t="s">
        <v>955</v>
      </c>
      <c r="C53" s="226" t="s">
        <v>956</v>
      </c>
      <c r="D53" s="239" t="s">
        <v>483</v>
      </c>
      <c r="E53" s="222" t="s">
        <v>957</v>
      </c>
    </row>
    <row r="54" spans="1:5" x14ac:dyDescent="0.25">
      <c r="A54" s="197">
        <v>54</v>
      </c>
      <c r="B54" s="198" t="s">
        <v>958</v>
      </c>
      <c r="C54" s="226" t="s">
        <v>959</v>
      </c>
      <c r="D54" s="240" t="s">
        <v>1400</v>
      </c>
      <c r="E54" s="222" t="s">
        <v>960</v>
      </c>
    </row>
    <row r="55" spans="1:5" x14ac:dyDescent="0.25">
      <c r="A55" s="197">
        <v>55</v>
      </c>
      <c r="B55" s="198" t="s">
        <v>961</v>
      </c>
      <c r="C55" s="226" t="s">
        <v>962</v>
      </c>
      <c r="D55" s="239" t="s">
        <v>479</v>
      </c>
      <c r="E55" s="222" t="s">
        <v>963</v>
      </c>
    </row>
    <row r="56" spans="1:5" x14ac:dyDescent="0.25">
      <c r="A56" s="197">
        <v>56</v>
      </c>
      <c r="B56" s="198" t="s">
        <v>964</v>
      </c>
      <c r="C56" s="226" t="s">
        <v>965</v>
      </c>
      <c r="D56" s="239" t="s">
        <v>1401</v>
      </c>
      <c r="E56" s="222" t="s">
        <v>966</v>
      </c>
    </row>
    <row r="57" spans="1:5" x14ac:dyDescent="0.25">
      <c r="A57" s="197">
        <v>57</v>
      </c>
      <c r="B57" s="198" t="s">
        <v>967</v>
      </c>
      <c r="C57" s="226" t="s">
        <v>968</v>
      </c>
      <c r="D57" s="239" t="s">
        <v>778</v>
      </c>
      <c r="E57" s="222" t="s">
        <v>969</v>
      </c>
    </row>
    <row r="58" spans="1:5" x14ac:dyDescent="0.25">
      <c r="A58" s="197">
        <v>58</v>
      </c>
      <c r="B58" s="198" t="s">
        <v>970</v>
      </c>
      <c r="C58" s="226" t="s">
        <v>971</v>
      </c>
      <c r="D58" s="239" t="s">
        <v>694</v>
      </c>
      <c r="E58" s="222" t="s">
        <v>972</v>
      </c>
    </row>
    <row r="59" spans="1:5" x14ac:dyDescent="0.25">
      <c r="A59" s="197">
        <v>59</v>
      </c>
      <c r="B59" s="198" t="s">
        <v>973</v>
      </c>
      <c r="C59" s="226" t="s">
        <v>974</v>
      </c>
      <c r="D59" s="239" t="s">
        <v>639</v>
      </c>
      <c r="E59" s="222" t="s">
        <v>975</v>
      </c>
    </row>
    <row r="60" spans="1:5" x14ac:dyDescent="0.25">
      <c r="A60" s="197">
        <v>60</v>
      </c>
      <c r="B60" s="198" t="s">
        <v>976</v>
      </c>
      <c r="C60" s="226" t="s">
        <v>977</v>
      </c>
      <c r="D60" s="239" t="s">
        <v>544</v>
      </c>
      <c r="E60" s="222" t="s">
        <v>978</v>
      </c>
    </row>
    <row r="61" spans="1:5" x14ac:dyDescent="0.25">
      <c r="A61" s="197">
        <v>61</v>
      </c>
      <c r="B61" s="198" t="s">
        <v>979</v>
      </c>
      <c r="C61" s="226" t="s">
        <v>980</v>
      </c>
      <c r="D61" s="239" t="s">
        <v>600</v>
      </c>
      <c r="E61" s="222" t="s">
        <v>981</v>
      </c>
    </row>
    <row r="62" spans="1:5" x14ac:dyDescent="0.25">
      <c r="A62" s="197">
        <v>62</v>
      </c>
      <c r="B62" s="198" t="s">
        <v>982</v>
      </c>
      <c r="C62" s="226" t="s">
        <v>983</v>
      </c>
      <c r="D62" s="239" t="s">
        <v>371</v>
      </c>
      <c r="E62" s="222" t="s">
        <v>984</v>
      </c>
    </row>
    <row r="63" spans="1:5" x14ac:dyDescent="0.25">
      <c r="A63" s="197">
        <v>63</v>
      </c>
      <c r="B63" s="198" t="s">
        <v>985</v>
      </c>
      <c r="C63" s="226" t="s">
        <v>986</v>
      </c>
      <c r="D63" s="239" t="s">
        <v>456</v>
      </c>
      <c r="E63" s="222" t="s">
        <v>987</v>
      </c>
    </row>
    <row r="64" spans="1:5" x14ac:dyDescent="0.25">
      <c r="A64" s="197">
        <v>64</v>
      </c>
      <c r="B64" s="198" t="s">
        <v>988</v>
      </c>
      <c r="C64" s="226" t="s">
        <v>989</v>
      </c>
      <c r="D64" s="239" t="s">
        <v>688</v>
      </c>
      <c r="E64" s="222" t="s">
        <v>990</v>
      </c>
    </row>
    <row r="65" spans="1:5" x14ac:dyDescent="0.25">
      <c r="A65" s="197">
        <v>65</v>
      </c>
      <c r="B65" s="198" t="s">
        <v>991</v>
      </c>
      <c r="C65" s="226" t="s">
        <v>992</v>
      </c>
      <c r="D65" s="239" t="s">
        <v>1402</v>
      </c>
      <c r="E65" s="222" t="s">
        <v>993</v>
      </c>
    </row>
    <row r="66" spans="1:5" x14ac:dyDescent="0.25">
      <c r="A66" s="197">
        <v>66</v>
      </c>
      <c r="B66" s="198" t="s">
        <v>994</v>
      </c>
      <c r="C66" s="226" t="s">
        <v>995</v>
      </c>
      <c r="D66" s="239" t="s">
        <v>547</v>
      </c>
      <c r="E66" s="222" t="s">
        <v>996</v>
      </c>
    </row>
    <row r="67" spans="1:5" x14ac:dyDescent="0.25">
      <c r="A67" s="197">
        <v>67</v>
      </c>
      <c r="B67" s="198" t="s">
        <v>997</v>
      </c>
      <c r="C67" s="226" t="s">
        <v>998</v>
      </c>
      <c r="D67" s="239" t="s">
        <v>678</v>
      </c>
      <c r="E67" s="222" t="s">
        <v>999</v>
      </c>
    </row>
    <row r="68" spans="1:5" x14ac:dyDescent="0.25">
      <c r="A68" s="197">
        <v>68</v>
      </c>
      <c r="B68" s="198" t="s">
        <v>1000</v>
      </c>
      <c r="C68" s="226" t="s">
        <v>1001</v>
      </c>
      <c r="D68" s="239" t="s">
        <v>545</v>
      </c>
      <c r="E68" s="222" t="s">
        <v>1002</v>
      </c>
    </row>
    <row r="69" spans="1:5" x14ac:dyDescent="0.25">
      <c r="A69" s="197">
        <v>69</v>
      </c>
      <c r="B69" s="198" t="s">
        <v>1003</v>
      </c>
      <c r="C69" s="226" t="s">
        <v>1004</v>
      </c>
      <c r="D69" s="239" t="s">
        <v>313</v>
      </c>
      <c r="E69" s="222" t="s">
        <v>1005</v>
      </c>
    </row>
    <row r="70" spans="1:5" x14ac:dyDescent="0.25">
      <c r="A70" s="197">
        <v>70</v>
      </c>
      <c r="B70" s="198" t="s">
        <v>1006</v>
      </c>
      <c r="C70" s="226" t="s">
        <v>1007</v>
      </c>
      <c r="D70" s="239" t="s">
        <v>634</v>
      </c>
      <c r="E70" s="222" t="s">
        <v>1008</v>
      </c>
    </row>
    <row r="71" spans="1:5" x14ac:dyDescent="0.25">
      <c r="A71" s="197">
        <v>71</v>
      </c>
      <c r="B71" s="198" t="s">
        <v>1009</v>
      </c>
      <c r="C71" s="226" t="s">
        <v>1010</v>
      </c>
      <c r="D71" s="239" t="s">
        <v>319</v>
      </c>
      <c r="E71" s="222" t="s">
        <v>1011</v>
      </c>
    </row>
    <row r="72" spans="1:5" x14ac:dyDescent="0.25">
      <c r="A72" s="197">
        <v>72</v>
      </c>
      <c r="B72" s="198" t="s">
        <v>1012</v>
      </c>
      <c r="C72" s="226" t="s">
        <v>1013</v>
      </c>
      <c r="D72" s="239" t="s">
        <v>555</v>
      </c>
      <c r="E72" s="222" t="s">
        <v>1014</v>
      </c>
    </row>
    <row r="73" spans="1:5" x14ac:dyDescent="0.25">
      <c r="A73" s="197">
        <v>73</v>
      </c>
      <c r="B73" s="198" t="s">
        <v>1015</v>
      </c>
      <c r="C73" s="226" t="s">
        <v>1016</v>
      </c>
      <c r="D73" s="239" t="s">
        <v>481</v>
      </c>
      <c r="E73" s="222" t="s">
        <v>1017</v>
      </c>
    </row>
    <row r="74" spans="1:5" x14ac:dyDescent="0.25">
      <c r="A74" s="197">
        <v>74</v>
      </c>
      <c r="B74" s="198" t="s">
        <v>1018</v>
      </c>
      <c r="C74" s="226" t="s">
        <v>1019</v>
      </c>
      <c r="D74" s="239" t="s">
        <v>1403</v>
      </c>
      <c r="E74" s="222" t="s">
        <v>1020</v>
      </c>
    </row>
    <row r="75" spans="1:5" x14ac:dyDescent="0.25">
      <c r="A75" s="197">
        <v>75</v>
      </c>
      <c r="B75" s="198" t="s">
        <v>1021</v>
      </c>
      <c r="C75" s="226" t="s">
        <v>1022</v>
      </c>
      <c r="D75" s="239" t="s">
        <v>786</v>
      </c>
      <c r="E75" s="222" t="s">
        <v>1023</v>
      </c>
    </row>
    <row r="76" spans="1:5" x14ac:dyDescent="0.25">
      <c r="A76" s="197">
        <v>76</v>
      </c>
      <c r="B76" s="198" t="s">
        <v>1024</v>
      </c>
      <c r="C76" s="226" t="s">
        <v>1025</v>
      </c>
      <c r="D76" s="239" t="s">
        <v>441</v>
      </c>
      <c r="E76" s="222" t="s">
        <v>1026</v>
      </c>
    </row>
    <row r="77" spans="1:5" x14ac:dyDescent="0.25">
      <c r="A77" s="197">
        <v>77</v>
      </c>
      <c r="B77" s="198" t="s">
        <v>1027</v>
      </c>
      <c r="C77" s="226" t="s">
        <v>1028</v>
      </c>
      <c r="D77" s="239" t="s">
        <v>700</v>
      </c>
      <c r="E77" s="222" t="s">
        <v>1029</v>
      </c>
    </row>
    <row r="78" spans="1:5" x14ac:dyDescent="0.25">
      <c r="A78" s="197">
        <v>78</v>
      </c>
      <c r="B78" s="198" t="s">
        <v>1030</v>
      </c>
      <c r="C78" s="226" t="s">
        <v>1031</v>
      </c>
      <c r="D78" s="239" t="s">
        <v>384</v>
      </c>
      <c r="E78" s="222" t="s">
        <v>1032</v>
      </c>
    </row>
    <row r="79" spans="1:5" x14ac:dyDescent="0.25">
      <c r="A79" s="197">
        <v>79</v>
      </c>
      <c r="B79" s="198" t="s">
        <v>1033</v>
      </c>
      <c r="C79" s="226" t="s">
        <v>1034</v>
      </c>
      <c r="D79" s="239" t="s">
        <v>1404</v>
      </c>
      <c r="E79" s="222" t="s">
        <v>1035</v>
      </c>
    </row>
    <row r="80" spans="1:5" x14ac:dyDescent="0.25">
      <c r="A80" s="197">
        <v>80</v>
      </c>
      <c r="B80" s="198" t="s">
        <v>1036</v>
      </c>
      <c r="C80" s="226" t="s">
        <v>1037</v>
      </c>
      <c r="D80" s="239" t="s">
        <v>1405</v>
      </c>
      <c r="E80" s="222" t="s">
        <v>1038</v>
      </c>
    </row>
    <row r="81" spans="1:5" x14ac:dyDescent="0.25">
      <c r="A81" s="197">
        <v>81</v>
      </c>
      <c r="B81" s="198" t="s">
        <v>1039</v>
      </c>
      <c r="C81" s="226" t="s">
        <v>1040</v>
      </c>
      <c r="D81" s="239" t="s">
        <v>561</v>
      </c>
      <c r="E81" s="222" t="s">
        <v>1041</v>
      </c>
    </row>
    <row r="82" spans="1:5" x14ac:dyDescent="0.25">
      <c r="A82" s="197">
        <v>82</v>
      </c>
      <c r="B82" s="198" t="s">
        <v>1042</v>
      </c>
      <c r="C82" s="226" t="s">
        <v>1043</v>
      </c>
      <c r="D82" s="239" t="s">
        <v>341</v>
      </c>
      <c r="E82" s="222" t="s">
        <v>1044</v>
      </c>
    </row>
    <row r="83" spans="1:5" x14ac:dyDescent="0.25">
      <c r="A83" s="197">
        <v>83</v>
      </c>
      <c r="B83" s="198" t="s">
        <v>1045</v>
      </c>
      <c r="C83" s="226" t="s">
        <v>1046</v>
      </c>
      <c r="D83" s="239" t="s">
        <v>367</v>
      </c>
      <c r="E83" s="222" t="s">
        <v>1047</v>
      </c>
    </row>
    <row r="84" spans="1:5" x14ac:dyDescent="0.25">
      <c r="A84" s="197">
        <v>84</v>
      </c>
      <c r="B84" s="198" t="s">
        <v>1048</v>
      </c>
      <c r="C84" s="226" t="s">
        <v>1049</v>
      </c>
      <c r="D84" s="239" t="s">
        <v>1406</v>
      </c>
      <c r="E84" s="222" t="s">
        <v>1050</v>
      </c>
    </row>
    <row r="85" spans="1:5" x14ac:dyDescent="0.25">
      <c r="A85" s="197">
        <v>85</v>
      </c>
      <c r="B85" s="198" t="s">
        <v>1051</v>
      </c>
      <c r="C85" s="226" t="s">
        <v>1052</v>
      </c>
      <c r="D85" s="239" t="s">
        <v>550</v>
      </c>
      <c r="E85" s="222" t="s">
        <v>1053</v>
      </c>
    </row>
    <row r="86" spans="1:5" x14ac:dyDescent="0.25">
      <c r="A86" s="197">
        <v>86</v>
      </c>
      <c r="B86" s="198" t="s">
        <v>1054</v>
      </c>
      <c r="C86" s="226" t="s">
        <v>1055</v>
      </c>
      <c r="D86" s="239" t="s">
        <v>546</v>
      </c>
      <c r="E86" s="222" t="s">
        <v>1056</v>
      </c>
    </row>
    <row r="87" spans="1:5" x14ac:dyDescent="0.25">
      <c r="A87" s="197">
        <v>87</v>
      </c>
      <c r="B87" s="198" t="s">
        <v>1057</v>
      </c>
      <c r="C87" s="226" t="s">
        <v>1058</v>
      </c>
      <c r="D87" s="239" t="s">
        <v>1407</v>
      </c>
      <c r="E87" s="222" t="s">
        <v>1059</v>
      </c>
    </row>
    <row r="88" spans="1:5" x14ac:dyDescent="0.25">
      <c r="A88" s="197">
        <v>88</v>
      </c>
      <c r="B88" s="198" t="s">
        <v>1060</v>
      </c>
      <c r="C88" s="226" t="s">
        <v>1061</v>
      </c>
      <c r="D88" s="239" t="s">
        <v>576</v>
      </c>
      <c r="E88" s="222" t="s">
        <v>1062</v>
      </c>
    </row>
    <row r="89" spans="1:5" x14ac:dyDescent="0.25">
      <c r="A89" s="197">
        <v>89</v>
      </c>
      <c r="B89" s="198" t="s">
        <v>1063</v>
      </c>
      <c r="C89" s="226" t="s">
        <v>1064</v>
      </c>
      <c r="D89" s="239" t="s">
        <v>329</v>
      </c>
      <c r="E89" s="222" t="s">
        <v>1065</v>
      </c>
    </row>
    <row r="90" spans="1:5" x14ac:dyDescent="0.25">
      <c r="A90" s="197">
        <v>90</v>
      </c>
      <c r="B90" s="198" t="s">
        <v>1066</v>
      </c>
      <c r="C90" s="226" t="s">
        <v>1067</v>
      </c>
      <c r="D90" s="239" t="s">
        <v>1408</v>
      </c>
      <c r="E90" s="222" t="s">
        <v>1068</v>
      </c>
    </row>
    <row r="91" spans="1:5" x14ac:dyDescent="0.25">
      <c r="A91" s="197">
        <v>91</v>
      </c>
      <c r="B91" s="198" t="s">
        <v>1069</v>
      </c>
      <c r="C91" s="226" t="s">
        <v>1070</v>
      </c>
      <c r="D91" s="239" t="s">
        <v>442</v>
      </c>
      <c r="E91" s="222" t="s">
        <v>1071</v>
      </c>
    </row>
    <row r="92" spans="1:5" x14ac:dyDescent="0.25">
      <c r="A92" s="197">
        <v>92</v>
      </c>
      <c r="B92" s="198" t="s">
        <v>1072</v>
      </c>
      <c r="C92" s="226" t="s">
        <v>1073</v>
      </c>
      <c r="D92" s="239" t="s">
        <v>662</v>
      </c>
      <c r="E92" s="222" t="s">
        <v>1074</v>
      </c>
    </row>
    <row r="93" spans="1:5" x14ac:dyDescent="0.25">
      <c r="A93" s="197">
        <v>93</v>
      </c>
      <c r="B93" s="198" t="s">
        <v>1075</v>
      </c>
      <c r="C93" s="226" t="s">
        <v>1076</v>
      </c>
      <c r="D93" s="239" t="s">
        <v>352</v>
      </c>
      <c r="E93" s="222" t="s">
        <v>1077</v>
      </c>
    </row>
    <row r="94" spans="1:5" x14ac:dyDescent="0.25">
      <c r="A94" s="197">
        <v>94</v>
      </c>
      <c r="B94" s="198" t="s">
        <v>1078</v>
      </c>
      <c r="C94" s="226" t="s">
        <v>1079</v>
      </c>
      <c r="D94" s="239" t="s">
        <v>771</v>
      </c>
      <c r="E94" s="222" t="s">
        <v>1080</v>
      </c>
    </row>
    <row r="95" spans="1:5" x14ac:dyDescent="0.25">
      <c r="A95" s="197">
        <v>95</v>
      </c>
      <c r="B95" s="198" t="s">
        <v>1081</v>
      </c>
      <c r="C95" s="226" t="s">
        <v>1082</v>
      </c>
      <c r="D95" s="239" t="s">
        <v>1409</v>
      </c>
      <c r="E95" s="222" t="s">
        <v>1083</v>
      </c>
    </row>
    <row r="96" spans="1:5" x14ac:dyDescent="0.25">
      <c r="A96" s="197">
        <v>96</v>
      </c>
      <c r="B96" s="198" t="s">
        <v>1084</v>
      </c>
      <c r="C96" s="226" t="s">
        <v>1085</v>
      </c>
      <c r="D96" s="239" t="s">
        <v>261</v>
      </c>
      <c r="E96" s="222" t="s">
        <v>1086</v>
      </c>
    </row>
    <row r="97" spans="1:5" x14ac:dyDescent="0.25">
      <c r="A97" s="197">
        <v>97</v>
      </c>
      <c r="B97" s="198" t="s">
        <v>1087</v>
      </c>
      <c r="C97" s="226" t="s">
        <v>1088</v>
      </c>
      <c r="D97" s="239" t="s">
        <v>333</v>
      </c>
      <c r="E97" s="222" t="s">
        <v>1089</v>
      </c>
    </row>
    <row r="98" spans="1:5" x14ac:dyDescent="0.25">
      <c r="A98" s="197">
        <v>98</v>
      </c>
      <c r="B98" s="198" t="s">
        <v>1090</v>
      </c>
      <c r="C98" s="226" t="s">
        <v>1091</v>
      </c>
      <c r="D98" s="239" t="s">
        <v>538</v>
      </c>
      <c r="E98" s="222" t="s">
        <v>1092</v>
      </c>
    </row>
    <row r="99" spans="1:5" x14ac:dyDescent="0.25">
      <c r="A99" s="197">
        <v>99</v>
      </c>
      <c r="B99" s="198" t="s">
        <v>1093</v>
      </c>
      <c r="C99" s="226" t="s">
        <v>1094</v>
      </c>
      <c r="D99" s="239" t="s">
        <v>1410</v>
      </c>
      <c r="E99" s="222" t="s">
        <v>1095</v>
      </c>
    </row>
    <row r="100" spans="1:5" x14ac:dyDescent="0.25">
      <c r="A100" s="197">
        <v>100</v>
      </c>
      <c r="B100" s="198" t="s">
        <v>1096</v>
      </c>
      <c r="C100" s="226" t="s">
        <v>1097</v>
      </c>
      <c r="D100" s="239" t="s">
        <v>1411</v>
      </c>
      <c r="E100" s="222" t="s">
        <v>1098</v>
      </c>
    </row>
    <row r="101" spans="1:5" x14ac:dyDescent="0.25">
      <c r="A101" s="197">
        <v>101</v>
      </c>
      <c r="B101" s="198" t="s">
        <v>1099</v>
      </c>
      <c r="C101" s="226" t="s">
        <v>1100</v>
      </c>
      <c r="D101" s="239" t="s">
        <v>1412</v>
      </c>
      <c r="E101" s="222" t="s">
        <v>1101</v>
      </c>
    </row>
    <row r="102" spans="1:5" x14ac:dyDescent="0.25">
      <c r="A102" s="197">
        <v>102</v>
      </c>
      <c r="B102" s="198" t="s">
        <v>1102</v>
      </c>
      <c r="C102" s="226" t="s">
        <v>1103</v>
      </c>
      <c r="D102" s="239" t="s">
        <v>676</v>
      </c>
      <c r="E102" s="222" t="s">
        <v>1104</v>
      </c>
    </row>
    <row r="103" spans="1:5" x14ac:dyDescent="0.25">
      <c r="A103" s="197">
        <v>103</v>
      </c>
      <c r="B103" s="198" t="s">
        <v>1105</v>
      </c>
      <c r="C103" s="226" t="s">
        <v>1106</v>
      </c>
      <c r="D103" s="239" t="s">
        <v>1413</v>
      </c>
      <c r="E103" s="222" t="s">
        <v>1107</v>
      </c>
    </row>
    <row r="104" spans="1:5" x14ac:dyDescent="0.25">
      <c r="A104" s="197">
        <v>104</v>
      </c>
      <c r="B104" s="198" t="s">
        <v>1108</v>
      </c>
      <c r="C104" s="226" t="s">
        <v>1109</v>
      </c>
      <c r="D104" s="239" t="s">
        <v>283</v>
      </c>
      <c r="E104" s="222" t="s">
        <v>1110</v>
      </c>
    </row>
    <row r="105" spans="1:5" x14ac:dyDescent="0.25">
      <c r="A105" s="197">
        <v>105</v>
      </c>
      <c r="B105" s="198" t="s">
        <v>1111</v>
      </c>
      <c r="C105" s="226" t="s">
        <v>1112</v>
      </c>
      <c r="D105" s="239" t="s">
        <v>760</v>
      </c>
      <c r="E105" s="222" t="s">
        <v>1113</v>
      </c>
    </row>
    <row r="106" spans="1:5" x14ac:dyDescent="0.25">
      <c r="A106" s="197">
        <v>106</v>
      </c>
      <c r="B106" s="198" t="s">
        <v>1114</v>
      </c>
      <c r="C106" s="226" t="s">
        <v>1115</v>
      </c>
      <c r="D106" s="239" t="s">
        <v>617</v>
      </c>
      <c r="E106" s="222" t="s">
        <v>1116</v>
      </c>
    </row>
    <row r="107" spans="1:5" x14ac:dyDescent="0.25">
      <c r="A107" s="197">
        <v>107</v>
      </c>
      <c r="B107" s="198" t="s">
        <v>1117</v>
      </c>
      <c r="C107" s="226" t="s">
        <v>1118</v>
      </c>
      <c r="D107" s="239" t="s">
        <v>540</v>
      </c>
      <c r="E107" s="222" t="s">
        <v>1119</v>
      </c>
    </row>
    <row r="108" spans="1:5" x14ac:dyDescent="0.25">
      <c r="A108" s="197">
        <v>108</v>
      </c>
      <c r="B108" s="198" t="s">
        <v>1120</v>
      </c>
      <c r="C108" s="226" t="s">
        <v>1121</v>
      </c>
      <c r="D108" s="239" t="s">
        <v>1414</v>
      </c>
      <c r="E108" s="222" t="s">
        <v>1122</v>
      </c>
    </row>
    <row r="109" spans="1:5" x14ac:dyDescent="0.25">
      <c r="A109" s="197">
        <v>109</v>
      </c>
      <c r="B109" s="198" t="s">
        <v>1123</v>
      </c>
      <c r="C109" s="226" t="s">
        <v>1124</v>
      </c>
      <c r="D109" s="239" t="s">
        <v>349</v>
      </c>
      <c r="E109" s="222" t="s">
        <v>1125</v>
      </c>
    </row>
    <row r="110" spans="1:5" x14ac:dyDescent="0.25">
      <c r="A110" s="197">
        <v>110</v>
      </c>
      <c r="B110" s="198" t="s">
        <v>1126</v>
      </c>
      <c r="C110" s="226" t="s">
        <v>1127</v>
      </c>
      <c r="D110" s="239" t="s">
        <v>512</v>
      </c>
      <c r="E110" s="222" t="s">
        <v>1128</v>
      </c>
    </row>
    <row r="111" spans="1:5" x14ac:dyDescent="0.25">
      <c r="A111" s="197">
        <v>111</v>
      </c>
      <c r="B111" s="198" t="s">
        <v>1129</v>
      </c>
      <c r="C111" s="226" t="s">
        <v>1130</v>
      </c>
      <c r="D111" s="239" t="s">
        <v>1415</v>
      </c>
      <c r="E111" s="222" t="s">
        <v>1131</v>
      </c>
    </row>
    <row r="112" spans="1:5" x14ac:dyDescent="0.25">
      <c r="A112" s="197">
        <v>112</v>
      </c>
      <c r="B112" s="198" t="s">
        <v>1132</v>
      </c>
      <c r="C112" s="226" t="s">
        <v>1133</v>
      </c>
      <c r="D112" s="239" t="s">
        <v>290</v>
      </c>
      <c r="E112" s="222" t="s">
        <v>1134</v>
      </c>
    </row>
    <row r="113" spans="1:5" x14ac:dyDescent="0.25">
      <c r="A113" s="197">
        <v>113</v>
      </c>
      <c r="B113" s="198" t="s">
        <v>1135</v>
      </c>
      <c r="C113" s="226" t="s">
        <v>1136</v>
      </c>
      <c r="D113" s="239" t="s">
        <v>1416</v>
      </c>
      <c r="E113" s="222" t="s">
        <v>1137</v>
      </c>
    </row>
    <row r="114" spans="1:5" x14ac:dyDescent="0.25">
      <c r="A114" s="197">
        <v>114</v>
      </c>
      <c r="B114" s="198" t="s">
        <v>1138</v>
      </c>
      <c r="C114" s="226" t="s">
        <v>1139</v>
      </c>
      <c r="D114" s="239" t="s">
        <v>584</v>
      </c>
      <c r="E114" s="222" t="s">
        <v>1140</v>
      </c>
    </row>
    <row r="115" spans="1:5" x14ac:dyDescent="0.25">
      <c r="A115" s="197">
        <v>115</v>
      </c>
      <c r="B115" s="198" t="s">
        <v>1141</v>
      </c>
      <c r="C115" s="226" t="s">
        <v>1142</v>
      </c>
      <c r="D115" s="239" t="s">
        <v>1417</v>
      </c>
      <c r="E115" s="222" t="s">
        <v>1143</v>
      </c>
    </row>
    <row r="116" spans="1:5" x14ac:dyDescent="0.25">
      <c r="A116" s="197">
        <v>116</v>
      </c>
      <c r="B116" s="198" t="s">
        <v>1144</v>
      </c>
      <c r="C116" s="226" t="s">
        <v>1145</v>
      </c>
      <c r="D116" s="239" t="s">
        <v>697</v>
      </c>
      <c r="E116" s="222" t="s">
        <v>1146</v>
      </c>
    </row>
    <row r="117" spans="1:5" x14ac:dyDescent="0.25">
      <c r="A117" s="197">
        <v>117</v>
      </c>
      <c r="B117" s="198" t="s">
        <v>1147</v>
      </c>
      <c r="C117" s="226" t="s">
        <v>1148</v>
      </c>
      <c r="D117" s="239" t="s">
        <v>251</v>
      </c>
      <c r="E117" s="222" t="s">
        <v>1149</v>
      </c>
    </row>
    <row r="118" spans="1:5" x14ac:dyDescent="0.25">
      <c r="A118" s="197">
        <v>118</v>
      </c>
      <c r="B118" s="198" t="s">
        <v>1150</v>
      </c>
      <c r="C118" s="226" t="s">
        <v>1151</v>
      </c>
      <c r="D118" s="239" t="s">
        <v>238</v>
      </c>
      <c r="E118" s="222" t="s">
        <v>1152</v>
      </c>
    </row>
    <row r="119" spans="1:5" x14ac:dyDescent="0.25">
      <c r="A119" s="197">
        <v>119</v>
      </c>
      <c r="B119" s="198" t="s">
        <v>1153</v>
      </c>
      <c r="C119" s="226" t="s">
        <v>1154</v>
      </c>
      <c r="D119" s="239" t="s">
        <v>775</v>
      </c>
      <c r="E119" s="222" t="s">
        <v>1155</v>
      </c>
    </row>
    <row r="120" spans="1:5" x14ac:dyDescent="0.25">
      <c r="A120" s="197">
        <v>120</v>
      </c>
      <c r="B120" s="198" t="s">
        <v>1156</v>
      </c>
      <c r="C120" s="226" t="s">
        <v>1157</v>
      </c>
      <c r="D120" s="239" t="s">
        <v>468</v>
      </c>
      <c r="E120" s="222" t="s">
        <v>1158</v>
      </c>
    </row>
    <row r="121" spans="1:5" x14ac:dyDescent="0.25">
      <c r="A121" s="197">
        <v>121</v>
      </c>
      <c r="B121" s="198" t="s">
        <v>1159</v>
      </c>
      <c r="C121" s="226" t="s">
        <v>1160</v>
      </c>
      <c r="D121" s="239" t="s">
        <v>234</v>
      </c>
      <c r="E121" s="222" t="s">
        <v>1161</v>
      </c>
    </row>
    <row r="122" spans="1:5" x14ac:dyDescent="0.25">
      <c r="A122" s="197">
        <v>122</v>
      </c>
      <c r="B122" s="198" t="s">
        <v>1162</v>
      </c>
      <c r="C122" s="226" t="s">
        <v>1163</v>
      </c>
      <c r="D122" s="239" t="s">
        <v>265</v>
      </c>
      <c r="E122" s="222" t="s">
        <v>1164</v>
      </c>
    </row>
    <row r="123" spans="1:5" x14ac:dyDescent="0.25">
      <c r="A123" s="197">
        <v>123</v>
      </c>
      <c r="B123" s="198" t="s">
        <v>1165</v>
      </c>
      <c r="C123" s="226" t="s">
        <v>1166</v>
      </c>
      <c r="D123" s="239" t="s">
        <v>419</v>
      </c>
      <c r="E123" s="222" t="s">
        <v>1167</v>
      </c>
    </row>
    <row r="124" spans="1:5" x14ac:dyDescent="0.25">
      <c r="A124" s="197">
        <v>124</v>
      </c>
      <c r="B124" s="198" t="s">
        <v>1168</v>
      </c>
      <c r="C124" s="226" t="s">
        <v>1169</v>
      </c>
      <c r="D124" s="239" t="s">
        <v>671</v>
      </c>
      <c r="E124" s="222" t="s">
        <v>1170</v>
      </c>
    </row>
    <row r="125" spans="1:5" x14ac:dyDescent="0.25">
      <c r="A125" s="197">
        <v>125</v>
      </c>
      <c r="B125" s="198" t="s">
        <v>1171</v>
      </c>
      <c r="C125" s="226" t="s">
        <v>1172</v>
      </c>
      <c r="D125" s="239" t="s">
        <v>369</v>
      </c>
      <c r="E125" s="222" t="s">
        <v>1173</v>
      </c>
    </row>
    <row r="126" spans="1:5" x14ac:dyDescent="0.25">
      <c r="A126" s="197">
        <v>126</v>
      </c>
      <c r="B126" s="198" t="s">
        <v>1174</v>
      </c>
      <c r="C126" s="226" t="s">
        <v>1175</v>
      </c>
      <c r="D126" s="239" t="s">
        <v>1418</v>
      </c>
      <c r="E126" s="222" t="s">
        <v>1176</v>
      </c>
    </row>
    <row r="127" spans="1:5" x14ac:dyDescent="0.25">
      <c r="A127" s="197">
        <v>127</v>
      </c>
      <c r="B127" s="198" t="s">
        <v>1177</v>
      </c>
      <c r="C127" s="226" t="s">
        <v>1178</v>
      </c>
      <c r="D127" s="239" t="s">
        <v>445</v>
      </c>
      <c r="E127" s="222" t="s">
        <v>1179</v>
      </c>
    </row>
    <row r="128" spans="1:5" x14ac:dyDescent="0.25">
      <c r="A128" s="197">
        <v>128</v>
      </c>
      <c r="B128" s="198" t="s">
        <v>1180</v>
      </c>
      <c r="C128" s="226" t="s">
        <v>1181</v>
      </c>
      <c r="D128" s="239" t="s">
        <v>271</v>
      </c>
      <c r="E128" s="222" t="s">
        <v>1182</v>
      </c>
    </row>
    <row r="129" spans="1:5" x14ac:dyDescent="0.25">
      <c r="A129" s="197">
        <v>129</v>
      </c>
      <c r="B129" s="198" t="s">
        <v>1183</v>
      </c>
      <c r="C129" s="226" t="s">
        <v>1184</v>
      </c>
      <c r="D129" s="239" t="s">
        <v>1419</v>
      </c>
      <c r="E129" s="222" t="s">
        <v>1185</v>
      </c>
    </row>
    <row r="130" spans="1:5" x14ac:dyDescent="0.25">
      <c r="A130" s="197">
        <v>130</v>
      </c>
      <c r="B130" s="198" t="s">
        <v>1186</v>
      </c>
      <c r="C130" s="226" t="s">
        <v>1187</v>
      </c>
      <c r="D130" s="239" t="s">
        <v>337</v>
      </c>
      <c r="E130" s="222" t="s">
        <v>1188</v>
      </c>
    </row>
    <row r="131" spans="1:5" x14ac:dyDescent="0.25">
      <c r="A131" s="197">
        <v>131</v>
      </c>
      <c r="B131" s="198" t="s">
        <v>1189</v>
      </c>
      <c r="C131" s="226" t="s">
        <v>1190</v>
      </c>
      <c r="D131" s="239" t="s">
        <v>1420</v>
      </c>
      <c r="E131" s="222" t="s">
        <v>1191</v>
      </c>
    </row>
    <row r="132" spans="1:5" x14ac:dyDescent="0.25">
      <c r="A132" s="197">
        <v>132</v>
      </c>
      <c r="B132" s="198" t="s">
        <v>1192</v>
      </c>
      <c r="C132" s="226" t="s">
        <v>1193</v>
      </c>
      <c r="D132" s="239" t="s">
        <v>1421</v>
      </c>
      <c r="E132" s="222" t="s">
        <v>1194</v>
      </c>
    </row>
    <row r="133" spans="1:5" x14ac:dyDescent="0.25">
      <c r="A133" s="197">
        <v>133</v>
      </c>
      <c r="B133" s="198" t="s">
        <v>1195</v>
      </c>
      <c r="C133" s="226" t="s">
        <v>1196</v>
      </c>
      <c r="D133" s="239" t="s">
        <v>1422</v>
      </c>
      <c r="E133" s="222" t="s">
        <v>1197</v>
      </c>
    </row>
    <row r="134" spans="1:5" x14ac:dyDescent="0.25">
      <c r="A134" s="197">
        <v>134</v>
      </c>
      <c r="B134" s="198" t="s">
        <v>1198</v>
      </c>
      <c r="C134" s="226" t="s">
        <v>1199</v>
      </c>
      <c r="D134" s="239" t="s">
        <v>196</v>
      </c>
      <c r="E134" s="222" t="s">
        <v>1200</v>
      </c>
    </row>
    <row r="135" spans="1:5" x14ac:dyDescent="0.25">
      <c r="A135" s="197">
        <v>135</v>
      </c>
      <c r="B135" s="198" t="s">
        <v>1201</v>
      </c>
      <c r="C135" s="226" t="s">
        <v>1202</v>
      </c>
      <c r="D135" s="239" t="s">
        <v>750</v>
      </c>
      <c r="E135" s="222" t="s">
        <v>1203</v>
      </c>
    </row>
    <row r="136" spans="1:5" x14ac:dyDescent="0.25">
      <c r="A136" s="197">
        <v>136</v>
      </c>
      <c r="B136" s="198" t="s">
        <v>1204</v>
      </c>
      <c r="C136" s="226" t="s">
        <v>1205</v>
      </c>
      <c r="D136" s="239" t="s">
        <v>434</v>
      </c>
      <c r="E136" s="222" t="s">
        <v>1206</v>
      </c>
    </row>
    <row r="137" spans="1:5" x14ac:dyDescent="0.25">
      <c r="A137" s="197">
        <v>137</v>
      </c>
      <c r="B137" s="198" t="s">
        <v>1207</v>
      </c>
      <c r="C137" s="226" t="s">
        <v>1208</v>
      </c>
      <c r="D137" s="239" t="s">
        <v>206</v>
      </c>
      <c r="E137" s="222" t="s">
        <v>1209</v>
      </c>
    </row>
    <row r="138" spans="1:5" x14ac:dyDescent="0.25">
      <c r="A138" s="197">
        <v>138</v>
      </c>
      <c r="B138" s="198" t="s">
        <v>1210</v>
      </c>
      <c r="C138" s="226" t="s">
        <v>1211</v>
      </c>
      <c r="D138" s="239" t="s">
        <v>292</v>
      </c>
      <c r="E138" s="222" t="s">
        <v>1212</v>
      </c>
    </row>
    <row r="139" spans="1:5" x14ac:dyDescent="0.25">
      <c r="A139" s="197">
        <v>139</v>
      </c>
      <c r="B139" s="198" t="s">
        <v>1213</v>
      </c>
      <c r="C139" s="226" t="s">
        <v>1214</v>
      </c>
      <c r="D139" s="239" t="s">
        <v>210</v>
      </c>
      <c r="E139" s="222" t="s">
        <v>1215</v>
      </c>
    </row>
    <row r="140" spans="1:5" x14ac:dyDescent="0.25">
      <c r="A140" s="197">
        <v>140</v>
      </c>
      <c r="B140" s="198" t="s">
        <v>1216</v>
      </c>
      <c r="C140" s="226" t="s">
        <v>1217</v>
      </c>
      <c r="D140" s="239" t="s">
        <v>253</v>
      </c>
      <c r="E140" s="222" t="s">
        <v>1218</v>
      </c>
    </row>
    <row r="141" spans="1:5" x14ac:dyDescent="0.25">
      <c r="A141" s="197">
        <v>141</v>
      </c>
      <c r="B141" s="198" t="s">
        <v>1219</v>
      </c>
      <c r="C141" s="226" t="s">
        <v>1220</v>
      </c>
      <c r="D141" s="239" t="s">
        <v>200</v>
      </c>
      <c r="E141" s="222" t="s">
        <v>1221</v>
      </c>
    </row>
    <row r="142" spans="1:5" x14ac:dyDescent="0.25">
      <c r="A142" s="197">
        <v>142</v>
      </c>
      <c r="B142" s="198" t="s">
        <v>1222</v>
      </c>
      <c r="C142" s="226" t="s">
        <v>1223</v>
      </c>
      <c r="D142" s="239" t="s">
        <v>732</v>
      </c>
      <c r="E142" s="222" t="s">
        <v>1224</v>
      </c>
    </row>
    <row r="143" spans="1:5" x14ac:dyDescent="0.25">
      <c r="A143" s="197">
        <v>143</v>
      </c>
      <c r="B143" s="198" t="s">
        <v>1225</v>
      </c>
      <c r="C143" s="226" t="s">
        <v>1226</v>
      </c>
      <c r="D143" s="239" t="s">
        <v>388</v>
      </c>
      <c r="E143" s="222" t="s">
        <v>1227</v>
      </c>
    </row>
    <row r="144" spans="1:5" x14ac:dyDescent="0.25">
      <c r="A144" s="197">
        <v>144</v>
      </c>
      <c r="B144" s="198" t="s">
        <v>1228</v>
      </c>
      <c r="C144" s="226" t="s">
        <v>1229</v>
      </c>
      <c r="D144" s="239" t="s">
        <v>670</v>
      </c>
      <c r="E144" s="222" t="s">
        <v>1230</v>
      </c>
    </row>
    <row r="145" spans="1:5" x14ac:dyDescent="0.25">
      <c r="A145" s="197">
        <v>145</v>
      </c>
      <c r="B145" s="198" t="s">
        <v>1231</v>
      </c>
      <c r="C145" s="226" t="s">
        <v>1232</v>
      </c>
      <c r="D145" s="239" t="s">
        <v>548</v>
      </c>
      <c r="E145" s="222" t="s">
        <v>1233</v>
      </c>
    </row>
    <row r="146" spans="1:5" x14ac:dyDescent="0.25">
      <c r="A146" s="197">
        <v>146</v>
      </c>
      <c r="B146" s="198" t="s">
        <v>1234</v>
      </c>
      <c r="C146" s="226" t="s">
        <v>1235</v>
      </c>
      <c r="D146" s="239" t="s">
        <v>426</v>
      </c>
      <c r="E146" s="222" t="s">
        <v>1236</v>
      </c>
    </row>
    <row r="147" spans="1:5" x14ac:dyDescent="0.25">
      <c r="A147" s="197">
        <v>147</v>
      </c>
      <c r="B147" s="198" t="s">
        <v>1237</v>
      </c>
      <c r="C147" s="226" t="s">
        <v>1238</v>
      </c>
      <c r="D147" s="239" t="s">
        <v>1423</v>
      </c>
      <c r="E147" s="222" t="s">
        <v>1239</v>
      </c>
    </row>
    <row r="148" spans="1:5" x14ac:dyDescent="0.25">
      <c r="A148" s="197">
        <v>148</v>
      </c>
      <c r="B148" s="198" t="s">
        <v>1240</v>
      </c>
      <c r="C148" s="226" t="s">
        <v>1241</v>
      </c>
      <c r="D148" s="239" t="s">
        <v>302</v>
      </c>
      <c r="E148" s="222" t="s">
        <v>1242</v>
      </c>
    </row>
    <row r="149" spans="1:5" x14ac:dyDescent="0.25">
      <c r="A149" s="197">
        <v>149</v>
      </c>
      <c r="B149" s="198" t="s">
        <v>1243</v>
      </c>
      <c r="C149" s="226" t="s">
        <v>1244</v>
      </c>
      <c r="D149" s="239" t="s">
        <v>1424</v>
      </c>
      <c r="E149" s="222" t="s">
        <v>1245</v>
      </c>
    </row>
    <row r="150" spans="1:5" x14ac:dyDescent="0.25">
      <c r="A150" s="197">
        <v>150</v>
      </c>
      <c r="B150" s="198" t="s">
        <v>1246</v>
      </c>
      <c r="C150" s="226" t="s">
        <v>1247</v>
      </c>
      <c r="D150" s="239" t="s">
        <v>407</v>
      </c>
      <c r="E150" s="222" t="s">
        <v>1248</v>
      </c>
    </row>
    <row r="151" spans="1:5" x14ac:dyDescent="0.25">
      <c r="A151" s="197">
        <v>151</v>
      </c>
      <c r="B151" s="198" t="s">
        <v>1249</v>
      </c>
      <c r="C151" s="226" t="s">
        <v>1250</v>
      </c>
      <c r="D151" s="239" t="s">
        <v>1425</v>
      </c>
      <c r="E151" s="222" t="s">
        <v>1251</v>
      </c>
    </row>
    <row r="152" spans="1:5" x14ac:dyDescent="0.25">
      <c r="A152" s="197">
        <v>152</v>
      </c>
      <c r="B152" s="198" t="s">
        <v>1252</v>
      </c>
      <c r="C152" s="226" t="s">
        <v>1253</v>
      </c>
      <c r="D152" s="239" t="s">
        <v>465</v>
      </c>
      <c r="E152" s="222" t="s">
        <v>1254</v>
      </c>
    </row>
    <row r="153" spans="1:5" x14ac:dyDescent="0.25">
      <c r="A153" s="197">
        <v>153</v>
      </c>
      <c r="B153" s="198" t="s">
        <v>1255</v>
      </c>
      <c r="C153" s="226" t="s">
        <v>1256</v>
      </c>
      <c r="D153" s="239" t="s">
        <v>1426</v>
      </c>
      <c r="E153" s="222" t="s">
        <v>1257</v>
      </c>
    </row>
    <row r="154" spans="1:5" x14ac:dyDescent="0.25">
      <c r="A154" s="197">
        <v>154</v>
      </c>
      <c r="B154" s="198" t="s">
        <v>1258</v>
      </c>
      <c r="C154" s="226" t="s">
        <v>1259</v>
      </c>
      <c r="D154" s="239" t="s">
        <v>317</v>
      </c>
      <c r="E154" s="222" t="s">
        <v>1260</v>
      </c>
    </row>
    <row r="155" spans="1:5" x14ac:dyDescent="0.25">
      <c r="A155" s="197">
        <v>155</v>
      </c>
      <c r="B155" s="198" t="s">
        <v>1261</v>
      </c>
      <c r="C155" s="226" t="s">
        <v>1262</v>
      </c>
      <c r="D155" s="239" t="s">
        <v>418</v>
      </c>
      <c r="E155" s="222" t="s">
        <v>1263</v>
      </c>
    </row>
    <row r="156" spans="1:5" x14ac:dyDescent="0.25">
      <c r="A156" s="197">
        <v>156</v>
      </c>
      <c r="B156" s="198" t="s">
        <v>1264</v>
      </c>
      <c r="C156" s="226" t="s">
        <v>1265</v>
      </c>
      <c r="D156" s="239" t="s">
        <v>723</v>
      </c>
      <c r="E156" s="222" t="s">
        <v>1266</v>
      </c>
    </row>
    <row r="157" spans="1:5" x14ac:dyDescent="0.25">
      <c r="A157" s="197">
        <v>157</v>
      </c>
      <c r="B157" s="198" t="s">
        <v>1267</v>
      </c>
      <c r="C157" s="226" t="s">
        <v>1268</v>
      </c>
      <c r="D157" s="239" t="s">
        <v>413</v>
      </c>
      <c r="E157" s="222" t="s">
        <v>1269</v>
      </c>
    </row>
    <row r="158" spans="1:5" x14ac:dyDescent="0.25">
      <c r="A158" s="197">
        <v>158</v>
      </c>
      <c r="B158" s="198" t="s">
        <v>1270</v>
      </c>
      <c r="C158" s="226" t="s">
        <v>1271</v>
      </c>
      <c r="D158" s="239" t="s">
        <v>247</v>
      </c>
      <c r="E158" s="222" t="s">
        <v>1272</v>
      </c>
    </row>
    <row r="159" spans="1:5" x14ac:dyDescent="0.25">
      <c r="A159" s="197">
        <v>159</v>
      </c>
      <c r="B159" s="198" t="s">
        <v>1273</v>
      </c>
      <c r="C159" s="226" t="s">
        <v>1274</v>
      </c>
      <c r="D159" s="239" t="s">
        <v>710</v>
      </c>
      <c r="E159" s="222" t="s">
        <v>1275</v>
      </c>
    </row>
    <row r="160" spans="1:5" x14ac:dyDescent="0.25">
      <c r="A160" s="197">
        <v>160</v>
      </c>
      <c r="B160" s="198" t="s">
        <v>1276</v>
      </c>
      <c r="C160" s="226" t="s">
        <v>1277</v>
      </c>
      <c r="D160" s="239" t="s">
        <v>439</v>
      </c>
      <c r="E160" s="222" t="s">
        <v>1278</v>
      </c>
    </row>
    <row r="161" spans="1:5" x14ac:dyDescent="0.25">
      <c r="A161" s="197">
        <v>161</v>
      </c>
      <c r="B161" s="198" t="s">
        <v>1279</v>
      </c>
      <c r="C161" s="226" t="s">
        <v>1280</v>
      </c>
      <c r="D161" s="239" t="s">
        <v>549</v>
      </c>
      <c r="E161" s="222" t="s">
        <v>1281</v>
      </c>
    </row>
    <row r="162" spans="1:5" x14ac:dyDescent="0.25">
      <c r="A162" s="197">
        <v>162</v>
      </c>
      <c r="B162" s="198" t="s">
        <v>1282</v>
      </c>
      <c r="C162" s="226" t="s">
        <v>1283</v>
      </c>
      <c r="D162" s="239" t="s">
        <v>298</v>
      </c>
      <c r="E162" s="222" t="s">
        <v>1284</v>
      </c>
    </row>
    <row r="163" spans="1:5" x14ac:dyDescent="0.25">
      <c r="A163" s="197">
        <v>163</v>
      </c>
      <c r="B163" s="198" t="s">
        <v>1285</v>
      </c>
      <c r="C163" s="226" t="s">
        <v>1286</v>
      </c>
      <c r="D163" s="239" t="s">
        <v>711</v>
      </c>
      <c r="E163" s="222" t="s">
        <v>1287</v>
      </c>
    </row>
    <row r="164" spans="1:5" x14ac:dyDescent="0.25">
      <c r="A164" s="197">
        <v>164</v>
      </c>
      <c r="B164" s="198" t="s">
        <v>1288</v>
      </c>
      <c r="C164" s="226" t="s">
        <v>1289</v>
      </c>
      <c r="D164" s="239" t="s">
        <v>722</v>
      </c>
      <c r="E164" s="222" t="s">
        <v>1290</v>
      </c>
    </row>
    <row r="165" spans="1:5" x14ac:dyDescent="0.25">
      <c r="A165" s="197">
        <v>165</v>
      </c>
      <c r="B165" s="198" t="s">
        <v>1291</v>
      </c>
      <c r="C165" s="226" t="s">
        <v>1292</v>
      </c>
      <c r="D165" s="239" t="s">
        <v>1427</v>
      </c>
      <c r="E165" s="222" t="s">
        <v>1293</v>
      </c>
    </row>
    <row r="166" spans="1:5" x14ac:dyDescent="0.25">
      <c r="A166" s="197">
        <v>166</v>
      </c>
      <c r="B166" s="198" t="s">
        <v>1294</v>
      </c>
      <c r="C166" s="226" t="s">
        <v>1295</v>
      </c>
      <c r="D166" s="239" t="s">
        <v>300</v>
      </c>
      <c r="E166" s="222" t="s">
        <v>1296</v>
      </c>
    </row>
    <row r="167" spans="1:5" x14ac:dyDescent="0.25">
      <c r="A167" s="197">
        <v>167</v>
      </c>
      <c r="B167" s="198" t="s">
        <v>1297</v>
      </c>
      <c r="C167" s="226" t="s">
        <v>1298</v>
      </c>
      <c r="D167" s="239" t="s">
        <v>664</v>
      </c>
      <c r="E167" s="222" t="s">
        <v>1299</v>
      </c>
    </row>
    <row r="168" spans="1:5" x14ac:dyDescent="0.25">
      <c r="A168" s="197">
        <v>168</v>
      </c>
      <c r="B168" s="198" t="s">
        <v>1300</v>
      </c>
      <c r="C168" s="226" t="s">
        <v>1301</v>
      </c>
      <c r="D168" s="239" t="s">
        <v>285</v>
      </c>
      <c r="E168" s="222" t="s">
        <v>1302</v>
      </c>
    </row>
    <row r="169" spans="1:5" x14ac:dyDescent="0.25">
      <c r="A169" s="197">
        <v>169</v>
      </c>
      <c r="B169" s="198" t="s">
        <v>1303</v>
      </c>
      <c r="C169" s="226" t="s">
        <v>1304</v>
      </c>
      <c r="D169" s="239" t="s">
        <v>461</v>
      </c>
      <c r="E169" s="222" t="s">
        <v>1305</v>
      </c>
    </row>
    <row r="170" spans="1:5" x14ac:dyDescent="0.25">
      <c r="A170" s="197">
        <v>170</v>
      </c>
      <c r="B170" s="198" t="s">
        <v>1306</v>
      </c>
      <c r="C170" s="226" t="s">
        <v>1307</v>
      </c>
      <c r="D170" s="239" t="s">
        <v>497</v>
      </c>
      <c r="E170" s="222" t="s">
        <v>1308</v>
      </c>
    </row>
    <row r="171" spans="1:5" x14ac:dyDescent="0.25">
      <c r="A171" s="197">
        <v>171</v>
      </c>
      <c r="B171" s="198" t="s">
        <v>1309</v>
      </c>
      <c r="C171" s="226" t="s">
        <v>1310</v>
      </c>
      <c r="D171" s="239" t="s">
        <v>488</v>
      </c>
      <c r="E171" s="222" t="s">
        <v>1311</v>
      </c>
    </row>
    <row r="172" spans="1:5" x14ac:dyDescent="0.25">
      <c r="A172" s="197">
        <v>172</v>
      </c>
      <c r="B172" s="198" t="s">
        <v>1312</v>
      </c>
      <c r="C172" s="226" t="s">
        <v>1313</v>
      </c>
      <c r="D172" s="239" t="s">
        <v>401</v>
      </c>
      <c r="E172" s="222" t="s">
        <v>1314</v>
      </c>
    </row>
    <row r="173" spans="1:5" x14ac:dyDescent="0.25">
      <c r="A173" s="197">
        <v>173</v>
      </c>
      <c r="B173" s="198" t="s">
        <v>1315</v>
      </c>
      <c r="C173" s="226" t="s">
        <v>1316</v>
      </c>
      <c r="D173" s="239" t="s">
        <v>1428</v>
      </c>
      <c r="E173" s="222" t="s">
        <v>1317</v>
      </c>
    </row>
    <row r="174" spans="1:5" x14ac:dyDescent="0.25">
      <c r="A174" s="197">
        <v>174</v>
      </c>
      <c r="B174" s="198" t="s">
        <v>1318</v>
      </c>
      <c r="C174" s="226" t="s">
        <v>1319</v>
      </c>
      <c r="D174" s="239" t="s">
        <v>240</v>
      </c>
      <c r="E174" s="222" t="s">
        <v>1320</v>
      </c>
    </row>
    <row r="175" spans="1:5" x14ac:dyDescent="0.25">
      <c r="A175" s="197">
        <v>175</v>
      </c>
      <c r="B175" s="198" t="s">
        <v>1321</v>
      </c>
      <c r="C175" s="226" t="s">
        <v>1322</v>
      </c>
      <c r="D175" s="239" t="s">
        <v>524</v>
      </c>
      <c r="E175" s="222" t="s">
        <v>1323</v>
      </c>
    </row>
    <row r="176" spans="1:5" x14ac:dyDescent="0.25">
      <c r="A176" s="197">
        <v>176</v>
      </c>
      <c r="B176" s="198" t="s">
        <v>1324</v>
      </c>
      <c r="C176" s="226" t="s">
        <v>1325</v>
      </c>
      <c r="D176" s="239" t="s">
        <v>673</v>
      </c>
      <c r="E176" s="222" t="s">
        <v>1326</v>
      </c>
    </row>
    <row r="177" spans="1:5" x14ac:dyDescent="0.25">
      <c r="A177" s="197">
        <v>177</v>
      </c>
      <c r="B177" s="198" t="s">
        <v>1327</v>
      </c>
      <c r="C177" s="226" t="s">
        <v>1328</v>
      </c>
      <c r="D177" s="239" t="s">
        <v>245</v>
      </c>
      <c r="E177" s="222" t="s">
        <v>1329</v>
      </c>
    </row>
    <row r="178" spans="1:5" x14ac:dyDescent="0.25">
      <c r="A178" s="197">
        <v>178</v>
      </c>
      <c r="B178" s="198" t="s">
        <v>1330</v>
      </c>
      <c r="C178" s="226" t="s">
        <v>1331</v>
      </c>
      <c r="D178" s="239" t="s">
        <v>493</v>
      </c>
      <c r="E178" s="222" t="s">
        <v>1332</v>
      </c>
    </row>
    <row r="179" spans="1:5" x14ac:dyDescent="0.25">
      <c r="A179" s="197">
        <v>179</v>
      </c>
      <c r="B179" s="198" t="s">
        <v>1333</v>
      </c>
      <c r="C179" s="226" t="s">
        <v>1334</v>
      </c>
      <c r="D179" s="239" t="s">
        <v>704</v>
      </c>
      <c r="E179" s="222" t="s">
        <v>1335</v>
      </c>
    </row>
    <row r="180" spans="1:5" x14ac:dyDescent="0.25">
      <c r="A180" s="197">
        <v>180</v>
      </c>
      <c r="B180" s="198" t="s">
        <v>1336</v>
      </c>
      <c r="C180" s="226" t="s">
        <v>1337</v>
      </c>
      <c r="D180" s="239" t="s">
        <v>485</v>
      </c>
      <c r="E180" s="222" t="s">
        <v>1338</v>
      </c>
    </row>
    <row r="181" spans="1:5" x14ac:dyDescent="0.25">
      <c r="A181" s="197">
        <v>181</v>
      </c>
      <c r="B181" s="198" t="s">
        <v>1339</v>
      </c>
      <c r="C181" s="226" t="s">
        <v>1340</v>
      </c>
      <c r="D181" s="239" t="s">
        <v>1429</v>
      </c>
      <c r="E181" s="222" t="s">
        <v>1341</v>
      </c>
    </row>
    <row r="182" spans="1:5" x14ac:dyDescent="0.25">
      <c r="A182" s="197">
        <v>182</v>
      </c>
      <c r="B182" s="198" t="s">
        <v>1342</v>
      </c>
      <c r="C182" s="226" t="s">
        <v>1343</v>
      </c>
      <c r="D182" s="239" t="s">
        <v>716</v>
      </c>
      <c r="E182" s="222" t="s">
        <v>1344</v>
      </c>
    </row>
    <row r="183" spans="1:5" x14ac:dyDescent="0.25">
      <c r="A183" s="197">
        <v>183</v>
      </c>
      <c r="B183" s="198" t="s">
        <v>1345</v>
      </c>
      <c r="C183" s="226" t="s">
        <v>1346</v>
      </c>
      <c r="D183" s="239" t="s">
        <v>658</v>
      </c>
      <c r="E183" s="222" t="s">
        <v>1347</v>
      </c>
    </row>
    <row r="184" spans="1:5" x14ac:dyDescent="0.25">
      <c r="A184" s="197">
        <v>184</v>
      </c>
      <c r="B184" s="198" t="s">
        <v>1348</v>
      </c>
      <c r="C184" s="226" t="s">
        <v>1349</v>
      </c>
      <c r="D184" s="239" t="s">
        <v>279</v>
      </c>
      <c r="E184" s="222" t="s">
        <v>1350</v>
      </c>
    </row>
    <row r="185" spans="1:5" x14ac:dyDescent="0.25">
      <c r="A185" s="197">
        <v>185</v>
      </c>
      <c r="B185" s="198" t="s">
        <v>1351</v>
      </c>
      <c r="C185" s="226" t="s">
        <v>1352</v>
      </c>
      <c r="D185" s="239" t="s">
        <v>255</v>
      </c>
      <c r="E185" s="222" t="s">
        <v>1353</v>
      </c>
    </row>
    <row r="186" spans="1:5" x14ac:dyDescent="0.25">
      <c r="A186" s="197">
        <v>186</v>
      </c>
      <c r="B186" s="198" t="s">
        <v>1354</v>
      </c>
      <c r="C186" s="226" t="s">
        <v>1355</v>
      </c>
      <c r="D186" s="239" t="s">
        <v>1430</v>
      </c>
      <c r="E186" s="222" t="s">
        <v>1356</v>
      </c>
    </row>
    <row r="187" spans="1:5" x14ac:dyDescent="0.25">
      <c r="A187" s="197">
        <v>187</v>
      </c>
      <c r="B187" s="198" t="s">
        <v>1357</v>
      </c>
      <c r="C187" s="226" t="s">
        <v>1358</v>
      </c>
      <c r="D187" s="239" t="s">
        <v>1431</v>
      </c>
      <c r="E187" s="222" t="s">
        <v>1359</v>
      </c>
    </row>
    <row r="188" spans="1:5" x14ac:dyDescent="0.25">
      <c r="A188" s="197">
        <v>188</v>
      </c>
      <c r="B188" s="198" t="s">
        <v>1360</v>
      </c>
      <c r="C188" s="226" t="s">
        <v>1361</v>
      </c>
      <c r="D188" s="239" t="s">
        <v>795</v>
      </c>
      <c r="E188" s="222" t="s">
        <v>1362</v>
      </c>
    </row>
    <row r="189" spans="1:5" x14ac:dyDescent="0.25">
      <c r="A189" s="197">
        <v>189</v>
      </c>
      <c r="B189" s="198" t="s">
        <v>1363</v>
      </c>
      <c r="C189" s="226" t="s">
        <v>1364</v>
      </c>
      <c r="D189" s="239" t="s">
        <v>327</v>
      </c>
      <c r="E189" s="222" t="s">
        <v>1365</v>
      </c>
    </row>
    <row r="190" spans="1:5" x14ac:dyDescent="0.25">
      <c r="A190" s="197">
        <v>190</v>
      </c>
      <c r="B190" s="198" t="s">
        <v>1366</v>
      </c>
      <c r="C190" s="226" t="s">
        <v>1367</v>
      </c>
      <c r="D190" s="239" t="s">
        <v>305</v>
      </c>
      <c r="E190" s="222" t="s">
        <v>1368</v>
      </c>
    </row>
    <row r="191" spans="1:5" x14ac:dyDescent="0.25">
      <c r="A191" s="197">
        <v>191</v>
      </c>
      <c r="B191" s="198" t="s">
        <v>1369</v>
      </c>
      <c r="C191" s="226" t="s">
        <v>1370</v>
      </c>
      <c r="D191" s="239" t="s">
        <v>656</v>
      </c>
      <c r="E191" s="222" t="s">
        <v>1371</v>
      </c>
    </row>
    <row r="192" spans="1:5" x14ac:dyDescent="0.25">
      <c r="A192" s="197">
        <v>192</v>
      </c>
      <c r="B192" s="198" t="s">
        <v>1372</v>
      </c>
      <c r="C192" s="226" t="s">
        <v>1373</v>
      </c>
      <c r="D192" s="239" t="s">
        <v>1432</v>
      </c>
      <c r="E192" s="222" t="s">
        <v>1374</v>
      </c>
    </row>
    <row r="193" spans="1:5" x14ac:dyDescent="0.25">
      <c r="A193" s="197">
        <v>193</v>
      </c>
      <c r="B193" s="198" t="s">
        <v>1375</v>
      </c>
      <c r="C193" s="226" t="s">
        <v>1376</v>
      </c>
      <c r="D193" s="239" t="s">
        <v>746</v>
      </c>
      <c r="E193" s="222" t="s">
        <v>1377</v>
      </c>
    </row>
    <row r="194" spans="1:5" x14ac:dyDescent="0.25">
      <c r="A194" s="197">
        <v>194</v>
      </c>
      <c r="B194" s="198" t="s">
        <v>1378</v>
      </c>
      <c r="C194" s="226" t="s">
        <v>1379</v>
      </c>
      <c r="D194" s="239" t="s">
        <v>519</v>
      </c>
      <c r="E194" s="222" t="s">
        <v>1380</v>
      </c>
    </row>
    <row r="195" spans="1:5" x14ac:dyDescent="0.25">
      <c r="A195" s="197">
        <v>195</v>
      </c>
      <c r="B195" s="198" t="s">
        <v>1381</v>
      </c>
      <c r="C195" s="226" t="s">
        <v>1382</v>
      </c>
      <c r="D195" s="239" t="s">
        <v>527</v>
      </c>
      <c r="E195" s="222" t="s">
        <v>1383</v>
      </c>
    </row>
    <row r="196" spans="1:5" x14ac:dyDescent="0.25">
      <c r="A196" s="197">
        <v>196</v>
      </c>
      <c r="B196" s="198" t="s">
        <v>1384</v>
      </c>
      <c r="C196" s="226" t="s">
        <v>1385</v>
      </c>
      <c r="D196" s="239" t="s">
        <v>220</v>
      </c>
      <c r="E196" s="222" t="s">
        <v>1386</v>
      </c>
    </row>
    <row r="197" spans="1:5" x14ac:dyDescent="0.25">
      <c r="A197" s="199">
        <v>197</v>
      </c>
      <c r="B197" s="200" t="s">
        <v>1387</v>
      </c>
      <c r="C197" s="227" t="s">
        <v>1061</v>
      </c>
      <c r="D197" s="241" t="s">
        <v>576</v>
      </c>
      <c r="E197" s="223" t="s">
        <v>1062</v>
      </c>
    </row>
    <row r="198" spans="1:5" x14ac:dyDescent="0.25">
      <c r="A198" s="199">
        <v>198</v>
      </c>
      <c r="B198" s="200" t="s">
        <v>1388</v>
      </c>
      <c r="C198" s="227" t="s">
        <v>1202</v>
      </c>
      <c r="D198" s="241" t="s">
        <v>750</v>
      </c>
      <c r="E198" s="223" t="s">
        <v>1203</v>
      </c>
    </row>
    <row r="199" spans="1:5" x14ac:dyDescent="0.25">
      <c r="A199" s="199">
        <v>199</v>
      </c>
      <c r="B199" s="200" t="s">
        <v>1389</v>
      </c>
      <c r="C199" s="227" t="s">
        <v>1390</v>
      </c>
      <c r="D199" s="241" t="s">
        <v>349</v>
      </c>
      <c r="E199" s="223" t="s">
        <v>1125</v>
      </c>
    </row>
    <row r="200" spans="1:5" s="264" customFormat="1" x14ac:dyDescent="0.25">
      <c r="B200" s="264" t="s">
        <v>620</v>
      </c>
      <c r="C200" s="264" t="s">
        <v>621</v>
      </c>
      <c r="D200" s="259">
        <v>290977728</v>
      </c>
      <c r="E200" s="261" t="s">
        <v>1446</v>
      </c>
    </row>
    <row r="201" spans="1:5" s="264" customFormat="1" x14ac:dyDescent="0.25">
      <c r="B201" s="264" t="s">
        <v>595</v>
      </c>
      <c r="C201" s="264" t="s">
        <v>416</v>
      </c>
      <c r="D201" s="259" t="s">
        <v>596</v>
      </c>
      <c r="E201" s="262" t="s">
        <v>793</v>
      </c>
    </row>
    <row r="202" spans="1:5" s="264" customFormat="1" x14ac:dyDescent="0.25">
      <c r="B202" s="264" t="s">
        <v>626</v>
      </c>
      <c r="C202" s="264" t="s">
        <v>416</v>
      </c>
      <c r="D202" s="259" t="s">
        <v>628</v>
      </c>
      <c r="E202" s="261" t="s">
        <v>1447</v>
      </c>
    </row>
    <row r="203" spans="1:5" s="264" customFormat="1" x14ac:dyDescent="0.25">
      <c r="B203" s="264" t="s">
        <v>769</v>
      </c>
      <c r="C203" s="264" t="s">
        <v>416</v>
      </c>
      <c r="D203" s="259">
        <v>273157688</v>
      </c>
      <c r="E203" s="261" t="s">
        <v>1448</v>
      </c>
    </row>
    <row r="204" spans="1:5" s="264" customFormat="1" x14ac:dyDescent="0.25">
      <c r="B204" s="264" t="s">
        <v>489</v>
      </c>
      <c r="C204" s="264" t="s">
        <v>490</v>
      </c>
      <c r="D204" s="259" t="s">
        <v>492</v>
      </c>
      <c r="E204" s="261" t="s">
        <v>1449</v>
      </c>
    </row>
    <row r="205" spans="1:5" s="264" customFormat="1" x14ac:dyDescent="0.25">
      <c r="B205" s="264" t="s">
        <v>151</v>
      </c>
      <c r="C205" s="264" t="s">
        <v>46</v>
      </c>
      <c r="D205" s="259" t="s">
        <v>321</v>
      </c>
      <c r="E205" s="261" t="s">
        <v>1450</v>
      </c>
    </row>
    <row r="206" spans="1:5" s="264" customFormat="1" x14ac:dyDescent="0.25">
      <c r="B206" s="264" t="s">
        <v>71</v>
      </c>
      <c r="C206" s="264" t="s">
        <v>569</v>
      </c>
      <c r="D206" s="259" t="s">
        <v>571</v>
      </c>
      <c r="E206" s="261" t="s">
        <v>1451</v>
      </c>
    </row>
    <row r="207" spans="1:5" s="264" customFormat="1" x14ac:dyDescent="0.25">
      <c r="B207" s="264" t="s">
        <v>62</v>
      </c>
      <c r="C207" s="264" t="s">
        <v>169</v>
      </c>
      <c r="D207" s="259" t="s">
        <v>397</v>
      </c>
      <c r="E207" s="261" t="s">
        <v>1452</v>
      </c>
    </row>
    <row r="208" spans="1:5" s="264" customFormat="1" x14ac:dyDescent="0.25">
      <c r="B208" s="264" t="s">
        <v>110</v>
      </c>
      <c r="C208" s="264" t="s">
        <v>0</v>
      </c>
      <c r="D208" s="259" t="s">
        <v>1440</v>
      </c>
      <c r="E208" s="261" t="s">
        <v>1453</v>
      </c>
    </row>
    <row r="209" spans="2:5" s="264" customFormat="1" x14ac:dyDescent="0.25">
      <c r="B209" s="264" t="s">
        <v>153</v>
      </c>
      <c r="C209" s="264" t="s">
        <v>143</v>
      </c>
      <c r="D209" s="259" t="s">
        <v>393</v>
      </c>
      <c r="E209" s="261" t="s">
        <v>1454</v>
      </c>
    </row>
    <row r="210" spans="2:5" s="264" customFormat="1" x14ac:dyDescent="0.25">
      <c r="B210" s="264" t="s">
        <v>76</v>
      </c>
      <c r="C210" s="264" t="s">
        <v>143</v>
      </c>
      <c r="D210" s="259">
        <v>361989243</v>
      </c>
      <c r="E210" s="262" t="s">
        <v>1455</v>
      </c>
    </row>
    <row r="211" spans="2:5" s="264" customFormat="1" x14ac:dyDescent="0.25">
      <c r="B211" s="264" t="s">
        <v>93</v>
      </c>
      <c r="C211" s="264" t="s">
        <v>143</v>
      </c>
      <c r="D211" s="259">
        <v>142190270</v>
      </c>
      <c r="E211" s="261" t="s">
        <v>1456</v>
      </c>
    </row>
    <row r="212" spans="2:5" s="264" customFormat="1" x14ac:dyDescent="0.25">
      <c r="B212" s="264" t="s">
        <v>66</v>
      </c>
      <c r="C212" s="264" t="s">
        <v>54</v>
      </c>
      <c r="D212" s="259" t="s">
        <v>361</v>
      </c>
      <c r="E212" s="261" t="s">
        <v>1457</v>
      </c>
    </row>
    <row r="213" spans="2:5" s="264" customFormat="1" x14ac:dyDescent="0.25">
      <c r="B213" s="264" t="s">
        <v>179</v>
      </c>
      <c r="C213" s="264" t="s">
        <v>54</v>
      </c>
      <c r="D213" s="259" t="s">
        <v>288</v>
      </c>
      <c r="E213" s="261" t="s">
        <v>1458</v>
      </c>
    </row>
    <row r="214" spans="2:5" s="264" customFormat="1" x14ac:dyDescent="0.25">
      <c r="B214" s="264" t="s">
        <v>541</v>
      </c>
      <c r="C214" s="264" t="s">
        <v>163</v>
      </c>
      <c r="D214" s="259" t="s">
        <v>559</v>
      </c>
      <c r="E214" s="261" t="s">
        <v>1459</v>
      </c>
    </row>
    <row r="215" spans="2:5" s="264" customFormat="1" x14ac:dyDescent="0.25">
      <c r="B215" s="264" t="s">
        <v>125</v>
      </c>
      <c r="C215" s="264" t="s">
        <v>162</v>
      </c>
      <c r="D215" s="259" t="s">
        <v>378</v>
      </c>
      <c r="E215" s="262" t="s">
        <v>793</v>
      </c>
    </row>
    <row r="216" spans="2:5" s="264" customFormat="1" x14ac:dyDescent="0.25">
      <c r="B216" s="264" t="s">
        <v>712</v>
      </c>
      <c r="C216" s="264" t="s">
        <v>157</v>
      </c>
      <c r="D216" s="259" t="s">
        <v>714</v>
      </c>
      <c r="E216" s="261" t="s">
        <v>1460</v>
      </c>
    </row>
    <row r="217" spans="2:5" s="264" customFormat="1" x14ac:dyDescent="0.25">
      <c r="B217" s="264" t="s">
        <v>184</v>
      </c>
      <c r="C217" s="264" t="s">
        <v>181</v>
      </c>
      <c r="D217" s="259" t="s">
        <v>363</v>
      </c>
      <c r="E217" s="261" t="s">
        <v>1461</v>
      </c>
    </row>
    <row r="218" spans="2:5" s="264" customFormat="1" x14ac:dyDescent="0.25">
      <c r="B218" s="264" t="s">
        <v>154</v>
      </c>
      <c r="C218" s="264" t="s">
        <v>157</v>
      </c>
      <c r="D218" s="259" t="s">
        <v>331</v>
      </c>
      <c r="E218" s="261" t="s">
        <v>1462</v>
      </c>
    </row>
    <row r="219" spans="2:5" s="264" customFormat="1" x14ac:dyDescent="0.25">
      <c r="B219" s="264" t="s">
        <v>534</v>
      </c>
      <c r="C219" s="264" t="s">
        <v>157</v>
      </c>
      <c r="D219" s="259" t="s">
        <v>535</v>
      </c>
      <c r="E219" s="261" t="s">
        <v>1463</v>
      </c>
    </row>
    <row r="220" spans="2:5" s="264" customFormat="1" x14ac:dyDescent="0.25">
      <c r="B220" s="264" t="s">
        <v>601</v>
      </c>
      <c r="C220" s="264" t="s">
        <v>157</v>
      </c>
      <c r="D220" s="259" t="s">
        <v>603</v>
      </c>
      <c r="E220" s="261" t="s">
        <v>1464</v>
      </c>
    </row>
    <row r="221" spans="2:5" s="264" customFormat="1" x14ac:dyDescent="0.25">
      <c r="B221" s="264" t="s">
        <v>129</v>
      </c>
      <c r="C221" s="264" t="s">
        <v>157</v>
      </c>
      <c r="D221" s="259" t="s">
        <v>768</v>
      </c>
      <c r="E221" s="262" t="s">
        <v>1465</v>
      </c>
    </row>
    <row r="222" spans="2:5" s="264" customFormat="1" x14ac:dyDescent="0.25">
      <c r="B222" s="264" t="s">
        <v>135</v>
      </c>
      <c r="C222" s="264" t="s">
        <v>142</v>
      </c>
      <c r="D222" s="259" t="s">
        <v>672</v>
      </c>
      <c r="E222" s="261" t="s">
        <v>1466</v>
      </c>
    </row>
    <row r="223" spans="2:5" s="264" customFormat="1" x14ac:dyDescent="0.25">
      <c r="B223" s="264" t="s">
        <v>578</v>
      </c>
      <c r="C223" s="264" t="s">
        <v>44</v>
      </c>
      <c r="D223" s="259" t="s">
        <v>579</v>
      </c>
      <c r="E223" s="261" t="s">
        <v>1467</v>
      </c>
    </row>
    <row r="224" spans="2:5" s="264" customFormat="1" x14ac:dyDescent="0.25">
      <c r="B224" s="264" t="s">
        <v>71</v>
      </c>
      <c r="C224" s="264" t="s">
        <v>44</v>
      </c>
      <c r="D224" s="259" t="s">
        <v>1441</v>
      </c>
      <c r="E224" s="261" t="s">
        <v>1468</v>
      </c>
    </row>
    <row r="225" spans="2:5" s="264" customFormat="1" x14ac:dyDescent="0.25">
      <c r="B225" s="264" t="s">
        <v>183</v>
      </c>
      <c r="C225" s="264" t="s">
        <v>63</v>
      </c>
      <c r="D225" s="259" t="s">
        <v>335</v>
      </c>
      <c r="E225" s="261" t="s">
        <v>1469</v>
      </c>
    </row>
    <row r="226" spans="2:5" s="264" customFormat="1" x14ac:dyDescent="0.25">
      <c r="B226" s="264" t="s">
        <v>121</v>
      </c>
      <c r="C226" s="264" t="s">
        <v>123</v>
      </c>
      <c r="D226" s="259" t="s">
        <v>356</v>
      </c>
      <c r="E226" s="261" t="s">
        <v>1470</v>
      </c>
    </row>
    <row r="227" spans="2:5" s="264" customFormat="1" x14ac:dyDescent="0.25">
      <c r="B227" s="264" t="s">
        <v>636</v>
      </c>
      <c r="C227" s="264" t="s">
        <v>124</v>
      </c>
      <c r="D227" s="259" t="s">
        <v>403</v>
      </c>
      <c r="E227" s="261" t="s">
        <v>1471</v>
      </c>
    </row>
    <row r="228" spans="2:5" s="264" customFormat="1" x14ac:dyDescent="0.25">
      <c r="B228" s="264" t="s">
        <v>111</v>
      </c>
      <c r="C228" s="264" t="s">
        <v>112</v>
      </c>
      <c r="D228" s="259" t="s">
        <v>391</v>
      </c>
      <c r="E228" s="261" t="s">
        <v>1472</v>
      </c>
    </row>
    <row r="229" spans="2:5" s="264" customFormat="1" x14ac:dyDescent="0.25">
      <c r="B229" s="264" t="s">
        <v>125</v>
      </c>
      <c r="C229" s="264" t="s">
        <v>580</v>
      </c>
      <c r="D229" s="259">
        <v>221175304</v>
      </c>
      <c r="E229" s="261" t="s">
        <v>1473</v>
      </c>
    </row>
    <row r="230" spans="2:5" s="264" customFormat="1" x14ac:dyDescent="0.25">
      <c r="B230" s="264" t="s">
        <v>93</v>
      </c>
      <c r="C230" s="264" t="s">
        <v>102</v>
      </c>
      <c r="D230" s="259">
        <v>273007354</v>
      </c>
      <c r="E230" s="261" t="s">
        <v>1474</v>
      </c>
    </row>
    <row r="231" spans="2:5" s="264" customFormat="1" x14ac:dyDescent="0.25">
      <c r="B231" s="264" t="s">
        <v>495</v>
      </c>
      <c r="C231" s="264" t="s">
        <v>74</v>
      </c>
      <c r="D231" s="259" t="s">
        <v>499</v>
      </c>
      <c r="E231" s="261" t="s">
        <v>1475</v>
      </c>
    </row>
    <row r="232" spans="2:5" s="264" customFormat="1" x14ac:dyDescent="0.25">
      <c r="B232" s="264" t="s">
        <v>50</v>
      </c>
      <c r="C232" s="264" t="s">
        <v>92</v>
      </c>
      <c r="D232" s="259" t="s">
        <v>307</v>
      </c>
      <c r="E232" s="261" t="s">
        <v>1476</v>
      </c>
    </row>
    <row r="233" spans="2:5" s="264" customFormat="1" x14ac:dyDescent="0.25">
      <c r="B233" s="264" t="s">
        <v>120</v>
      </c>
      <c r="C233" s="264" t="s">
        <v>92</v>
      </c>
      <c r="D233" s="259" t="s">
        <v>554</v>
      </c>
      <c r="E233" s="261" t="s">
        <v>1477</v>
      </c>
    </row>
    <row r="234" spans="2:5" s="264" customFormat="1" x14ac:dyDescent="0.25">
      <c r="B234" s="264" t="s">
        <v>71</v>
      </c>
      <c r="C234" s="264" t="s">
        <v>684</v>
      </c>
      <c r="D234" s="259">
        <v>183812335</v>
      </c>
      <c r="E234" s="261" t="s">
        <v>1478</v>
      </c>
    </row>
    <row r="235" spans="2:5" s="264" customFormat="1" x14ac:dyDescent="0.25">
      <c r="B235" s="264" t="s">
        <v>428</v>
      </c>
      <c r="C235" s="264" t="s">
        <v>57</v>
      </c>
      <c r="D235" s="259" t="s">
        <v>409</v>
      </c>
      <c r="E235" s="261" t="s">
        <v>1479</v>
      </c>
    </row>
    <row r="236" spans="2:5" s="264" customFormat="1" x14ac:dyDescent="0.25">
      <c r="B236" s="264" t="s">
        <v>178</v>
      </c>
      <c r="C236" s="264" t="s">
        <v>182</v>
      </c>
      <c r="D236" s="259" t="s">
        <v>386</v>
      </c>
      <c r="E236" s="261" t="s">
        <v>1480</v>
      </c>
    </row>
    <row r="237" spans="2:5" s="264" customFormat="1" x14ac:dyDescent="0.25">
      <c r="B237" s="264" t="s">
        <v>729</v>
      </c>
      <c r="C237" s="264" t="s">
        <v>52</v>
      </c>
      <c r="D237" s="259">
        <v>334714735</v>
      </c>
      <c r="E237" s="261" t="s">
        <v>1481</v>
      </c>
    </row>
    <row r="238" spans="2:5" s="264" customFormat="1" x14ac:dyDescent="0.25">
      <c r="B238" s="264" t="s">
        <v>164</v>
      </c>
      <c r="C238" s="264" t="s">
        <v>167</v>
      </c>
      <c r="D238" s="259" t="s">
        <v>345</v>
      </c>
      <c r="E238" s="261" t="s">
        <v>1482</v>
      </c>
    </row>
    <row r="239" spans="2:5" s="264" customFormat="1" x14ac:dyDescent="0.25">
      <c r="B239" s="264" t="s">
        <v>101</v>
      </c>
      <c r="C239" s="264" t="s">
        <v>48</v>
      </c>
      <c r="D239" s="259" t="s">
        <v>447</v>
      </c>
      <c r="E239" s="261" t="s">
        <v>1483</v>
      </c>
    </row>
    <row r="240" spans="2:5" s="264" customFormat="1" x14ac:dyDescent="0.25">
      <c r="B240" s="264" t="s">
        <v>727</v>
      </c>
      <c r="C240" s="264" t="s">
        <v>42</v>
      </c>
      <c r="D240" s="259">
        <v>163121157</v>
      </c>
      <c r="E240" s="261" t="s">
        <v>1484</v>
      </c>
    </row>
    <row r="241" spans="2:5" s="264" customFormat="1" x14ac:dyDescent="0.25">
      <c r="B241" s="264" t="s">
        <v>98</v>
      </c>
      <c r="C241" s="264" t="s">
        <v>42</v>
      </c>
      <c r="D241" s="259" t="s">
        <v>552</v>
      </c>
      <c r="E241" s="261" t="s">
        <v>1485</v>
      </c>
    </row>
    <row r="242" spans="2:5" s="264" customFormat="1" x14ac:dyDescent="0.25">
      <c r="B242" s="264" t="s">
        <v>70</v>
      </c>
      <c r="C242" s="264" t="s">
        <v>127</v>
      </c>
      <c r="D242" s="259" t="s">
        <v>357</v>
      </c>
      <c r="E242" s="262" t="s">
        <v>793</v>
      </c>
    </row>
    <row r="243" spans="2:5" s="264" customFormat="1" x14ac:dyDescent="0.25">
      <c r="B243" s="264" t="s">
        <v>763</v>
      </c>
      <c r="C243" s="264" t="s">
        <v>127</v>
      </c>
      <c r="D243" s="259" t="s">
        <v>765</v>
      </c>
      <c r="E243" s="261" t="s">
        <v>1486</v>
      </c>
    </row>
    <row r="244" spans="2:5" s="264" customFormat="1" x14ac:dyDescent="0.25">
      <c r="B244" s="264" t="s">
        <v>742</v>
      </c>
      <c r="C244" s="264" t="s">
        <v>743</v>
      </c>
      <c r="D244" s="259">
        <v>194152853</v>
      </c>
      <c r="E244" s="261" t="s">
        <v>1487</v>
      </c>
    </row>
    <row r="245" spans="2:5" s="264" customFormat="1" x14ac:dyDescent="0.25">
      <c r="B245" s="264" t="s">
        <v>150</v>
      </c>
      <c r="C245" s="264" t="s">
        <v>45</v>
      </c>
      <c r="D245" s="259" t="s">
        <v>395</v>
      </c>
      <c r="E245" s="261" t="s">
        <v>1488</v>
      </c>
    </row>
    <row r="246" spans="2:5" s="264" customFormat="1" x14ac:dyDescent="0.25">
      <c r="B246" s="264" t="s">
        <v>110</v>
      </c>
      <c r="C246" s="264" t="s">
        <v>45</v>
      </c>
      <c r="D246" s="259" t="s">
        <v>1442</v>
      </c>
      <c r="E246" s="262" t="s">
        <v>752</v>
      </c>
    </row>
    <row r="247" spans="2:5" s="264" customFormat="1" x14ac:dyDescent="0.25">
      <c r="B247" s="264" t="s">
        <v>138</v>
      </c>
      <c r="C247" s="264" t="s">
        <v>89</v>
      </c>
      <c r="D247" s="259" t="s">
        <v>736</v>
      </c>
      <c r="E247" s="261" t="s">
        <v>1489</v>
      </c>
    </row>
    <row r="248" spans="2:5" s="264" customFormat="1" x14ac:dyDescent="0.25">
      <c r="B248" s="264" t="s">
        <v>125</v>
      </c>
      <c r="C248" s="264" t="s">
        <v>1433</v>
      </c>
      <c r="D248" s="259" t="s">
        <v>1443</v>
      </c>
      <c r="E248" s="261" t="s">
        <v>1490</v>
      </c>
    </row>
    <row r="249" spans="2:5" s="264" customFormat="1" x14ac:dyDescent="0.25">
      <c r="B249" s="264" t="s">
        <v>69</v>
      </c>
      <c r="C249" s="264" t="s">
        <v>73</v>
      </c>
      <c r="D249" s="259" t="s">
        <v>343</v>
      </c>
      <c r="E249" s="261" t="s">
        <v>1491</v>
      </c>
    </row>
    <row r="250" spans="2:5" s="264" customFormat="1" x14ac:dyDescent="0.25">
      <c r="B250" s="264" t="s">
        <v>84</v>
      </c>
      <c r="C250" s="264" t="s">
        <v>109</v>
      </c>
      <c r="D250" s="259" t="s">
        <v>553</v>
      </c>
      <c r="E250" s="261" t="s">
        <v>1492</v>
      </c>
    </row>
    <row r="251" spans="2:5" s="264" customFormat="1" x14ac:dyDescent="0.25">
      <c r="B251" s="264" t="s">
        <v>173</v>
      </c>
      <c r="C251" s="264" t="s">
        <v>174</v>
      </c>
      <c r="D251" s="259" t="s">
        <v>277</v>
      </c>
      <c r="E251" s="261" t="s">
        <v>1493</v>
      </c>
    </row>
    <row r="252" spans="2:5" s="264" customFormat="1" x14ac:dyDescent="0.25">
      <c r="B252" s="264" t="s">
        <v>477</v>
      </c>
      <c r="C252" s="264" t="s">
        <v>641</v>
      </c>
      <c r="D252" s="259" t="s">
        <v>642</v>
      </c>
      <c r="E252" s="261" t="s">
        <v>1494</v>
      </c>
    </row>
    <row r="253" spans="2:5" s="264" customFormat="1" x14ac:dyDescent="0.25">
      <c r="B253" s="264" t="s">
        <v>585</v>
      </c>
      <c r="C253" s="264" t="s">
        <v>177</v>
      </c>
      <c r="D253" s="259" t="s">
        <v>586</v>
      </c>
      <c r="E253" s="262" t="s">
        <v>752</v>
      </c>
    </row>
    <row r="254" spans="2:5" s="264" customFormat="1" x14ac:dyDescent="0.25">
      <c r="B254" s="264" t="s">
        <v>176</v>
      </c>
      <c r="C254" s="264" t="s">
        <v>177</v>
      </c>
      <c r="D254" s="259" t="s">
        <v>364</v>
      </c>
      <c r="E254" s="262" t="s">
        <v>752</v>
      </c>
    </row>
    <row r="255" spans="2:5" s="264" customFormat="1" x14ac:dyDescent="0.25">
      <c r="B255" s="264" t="s">
        <v>504</v>
      </c>
      <c r="C255" s="264" t="s">
        <v>141</v>
      </c>
      <c r="D255" s="259" t="s">
        <v>513</v>
      </c>
      <c r="E255" s="261" t="s">
        <v>1495</v>
      </c>
    </row>
    <row r="256" spans="2:5" s="264" customFormat="1" x14ac:dyDescent="0.25">
      <c r="B256" s="264" t="s">
        <v>149</v>
      </c>
      <c r="C256" s="264" t="s">
        <v>141</v>
      </c>
      <c r="D256" s="259" t="s">
        <v>437</v>
      </c>
      <c r="E256" s="261" t="s">
        <v>1496</v>
      </c>
    </row>
    <row r="257" spans="2:5" s="264" customFormat="1" x14ac:dyDescent="0.25">
      <c r="B257" s="264" t="s">
        <v>136</v>
      </c>
      <c r="C257" s="264" t="s">
        <v>147</v>
      </c>
      <c r="D257" s="259" t="s">
        <v>323</v>
      </c>
      <c r="E257" s="261" t="s">
        <v>1497</v>
      </c>
    </row>
    <row r="258" spans="2:5" s="264" customFormat="1" x14ac:dyDescent="0.25">
      <c r="B258" s="264" t="s">
        <v>156</v>
      </c>
      <c r="C258" s="264" t="s">
        <v>130</v>
      </c>
      <c r="D258" s="259" t="s">
        <v>339</v>
      </c>
      <c r="E258" s="261" t="s">
        <v>1498</v>
      </c>
    </row>
    <row r="259" spans="2:5" s="264" customFormat="1" x14ac:dyDescent="0.25">
      <c r="B259" s="264" t="s">
        <v>477</v>
      </c>
      <c r="C259" s="264" t="s">
        <v>130</v>
      </c>
      <c r="D259" s="259" t="s">
        <v>680</v>
      </c>
      <c r="E259" s="261" t="s">
        <v>1499</v>
      </c>
    </row>
    <row r="260" spans="2:5" s="264" customFormat="1" x14ac:dyDescent="0.25">
      <c r="B260" s="264" t="s">
        <v>528</v>
      </c>
      <c r="C260" s="264" t="s">
        <v>130</v>
      </c>
      <c r="D260" s="259" t="s">
        <v>530</v>
      </c>
      <c r="E260" s="261" t="s">
        <v>1500</v>
      </c>
    </row>
    <row r="261" spans="2:5" s="264" customFormat="1" x14ac:dyDescent="0.25">
      <c r="B261" s="264" t="s">
        <v>591</v>
      </c>
      <c r="C261" s="264" t="s">
        <v>130</v>
      </c>
      <c r="D261" s="259" t="s">
        <v>593</v>
      </c>
      <c r="E261" s="261" t="s">
        <v>1501</v>
      </c>
    </row>
    <row r="262" spans="2:5" s="264" customFormat="1" x14ac:dyDescent="0.25">
      <c r="B262" s="264" t="s">
        <v>160</v>
      </c>
      <c r="C262" s="264" t="s">
        <v>563</v>
      </c>
      <c r="D262" s="259" t="s">
        <v>564</v>
      </c>
      <c r="E262" s="261" t="s">
        <v>1502</v>
      </c>
    </row>
    <row r="263" spans="2:5" s="264" customFormat="1" x14ac:dyDescent="0.25">
      <c r="B263" s="264" t="s">
        <v>606</v>
      </c>
      <c r="C263" s="264" t="s">
        <v>67</v>
      </c>
      <c r="D263" s="259" t="s">
        <v>619</v>
      </c>
      <c r="E263" s="261" t="s">
        <v>1503</v>
      </c>
    </row>
    <row r="264" spans="2:5" s="264" customFormat="1" x14ac:dyDescent="0.25">
      <c r="B264" s="264" t="s">
        <v>650</v>
      </c>
      <c r="C264" s="264" t="s">
        <v>67</v>
      </c>
      <c r="D264" s="259" t="s">
        <v>652</v>
      </c>
      <c r="E264" s="261" t="s">
        <v>1504</v>
      </c>
    </row>
    <row r="265" spans="2:5" s="264" customFormat="1" x14ac:dyDescent="0.25">
      <c r="B265" s="264" t="s">
        <v>129</v>
      </c>
      <c r="C265" s="264" t="s">
        <v>67</v>
      </c>
      <c r="D265" s="259" t="s">
        <v>675</v>
      </c>
      <c r="E265" s="261" t="s">
        <v>1505</v>
      </c>
    </row>
    <row r="266" spans="2:5" s="264" customFormat="1" x14ac:dyDescent="0.25">
      <c r="B266" s="264" t="s">
        <v>451</v>
      </c>
      <c r="C266" s="264" t="s">
        <v>67</v>
      </c>
      <c r="D266" s="259" t="s">
        <v>452</v>
      </c>
      <c r="E266" s="261" t="s">
        <v>1506</v>
      </c>
    </row>
    <row r="267" spans="2:5" s="264" customFormat="1" x14ac:dyDescent="0.25">
      <c r="B267" s="264" t="s">
        <v>502</v>
      </c>
      <c r="C267" s="264" t="s">
        <v>67</v>
      </c>
      <c r="D267" s="259">
        <v>225422593</v>
      </c>
      <c r="E267" s="261" t="s">
        <v>1507</v>
      </c>
    </row>
    <row r="268" spans="2:5" s="264" customFormat="1" x14ac:dyDescent="0.25">
      <c r="B268" s="264" t="s">
        <v>180</v>
      </c>
      <c r="C268" s="264" t="s">
        <v>55</v>
      </c>
      <c r="D268" s="259" t="s">
        <v>242</v>
      </c>
      <c r="E268" s="261" t="s">
        <v>1508</v>
      </c>
    </row>
    <row r="269" spans="2:5" s="264" customFormat="1" x14ac:dyDescent="0.25">
      <c r="B269" s="264" t="s">
        <v>59</v>
      </c>
      <c r="C269" s="264" t="s">
        <v>60</v>
      </c>
      <c r="D269" s="259" t="s">
        <v>359</v>
      </c>
      <c r="E269" s="261" t="s">
        <v>1509</v>
      </c>
    </row>
    <row r="270" spans="2:5" s="264" customFormat="1" x14ac:dyDescent="0.25">
      <c r="B270" s="264" t="s">
        <v>168</v>
      </c>
      <c r="C270" s="264" t="s">
        <v>159</v>
      </c>
      <c r="D270" s="259" t="s">
        <v>347</v>
      </c>
      <c r="E270" s="261" t="s">
        <v>1510</v>
      </c>
    </row>
    <row r="271" spans="2:5" s="264" customFormat="1" x14ac:dyDescent="0.25">
      <c r="B271" s="264" t="s">
        <v>70</v>
      </c>
      <c r="C271" s="264" t="s">
        <v>515</v>
      </c>
      <c r="D271" s="259" t="s">
        <v>517</v>
      </c>
      <c r="E271" s="261" t="s">
        <v>1511</v>
      </c>
    </row>
    <row r="272" spans="2:5" s="264" customFormat="1" x14ac:dyDescent="0.25">
      <c r="B272" s="264" t="s">
        <v>70</v>
      </c>
      <c r="C272" s="264" t="s">
        <v>79</v>
      </c>
      <c r="D272" s="259">
        <v>142299596</v>
      </c>
      <c r="E272" s="261" t="s">
        <v>1512</v>
      </c>
    </row>
    <row r="273" spans="2:5" s="264" customFormat="1" x14ac:dyDescent="0.25">
      <c r="B273" s="264" t="s">
        <v>629</v>
      </c>
      <c r="C273" s="264" t="s">
        <v>630</v>
      </c>
      <c r="D273" s="259">
        <v>225091089</v>
      </c>
      <c r="E273" s="261" t="s">
        <v>1513</v>
      </c>
    </row>
    <row r="274" spans="2:5" s="264" customFormat="1" x14ac:dyDescent="0.25">
      <c r="B274" s="264" t="s">
        <v>126</v>
      </c>
      <c r="C274" s="264" t="s">
        <v>51</v>
      </c>
      <c r="D274" s="259" t="s">
        <v>415</v>
      </c>
      <c r="E274" s="261" t="s">
        <v>1514</v>
      </c>
    </row>
    <row r="275" spans="2:5" s="264" customFormat="1" x14ac:dyDescent="0.25">
      <c r="B275" s="264" t="s">
        <v>690</v>
      </c>
      <c r="C275" s="264" t="s">
        <v>51</v>
      </c>
      <c r="D275" s="259" t="s">
        <v>691</v>
      </c>
      <c r="E275" s="261" t="s">
        <v>1515</v>
      </c>
    </row>
    <row r="276" spans="2:5" s="264" customFormat="1" x14ac:dyDescent="0.25">
      <c r="B276" s="264" t="s">
        <v>146</v>
      </c>
      <c r="C276" s="264" t="s">
        <v>140</v>
      </c>
      <c r="D276" s="259" t="s">
        <v>294</v>
      </c>
      <c r="E276" s="261" t="s">
        <v>1516</v>
      </c>
    </row>
    <row r="277" spans="2:5" s="264" customFormat="1" x14ac:dyDescent="0.25">
      <c r="B277" s="264" t="s">
        <v>422</v>
      </c>
      <c r="C277" s="264" t="s">
        <v>68</v>
      </c>
      <c r="D277" s="259" t="s">
        <v>424</v>
      </c>
      <c r="E277" s="262" t="s">
        <v>793</v>
      </c>
    </row>
    <row r="278" spans="2:5" s="264" customFormat="1" x14ac:dyDescent="0.25">
      <c r="B278" s="264" t="s">
        <v>520</v>
      </c>
      <c r="C278" s="264" t="s">
        <v>68</v>
      </c>
      <c r="D278" s="259" t="s">
        <v>522</v>
      </c>
      <c r="E278" s="261" t="s">
        <v>1517</v>
      </c>
    </row>
    <row r="279" spans="2:5" s="264" customFormat="1" x14ac:dyDescent="0.25">
      <c r="B279" s="264" t="s">
        <v>165</v>
      </c>
      <c r="C279" s="264" t="s">
        <v>148</v>
      </c>
      <c r="D279" s="259" t="s">
        <v>421</v>
      </c>
      <c r="E279" s="261" t="s">
        <v>1518</v>
      </c>
    </row>
    <row r="280" spans="2:5" s="264" customFormat="1" x14ac:dyDescent="0.25">
      <c r="B280" s="264" t="s">
        <v>514</v>
      </c>
      <c r="C280" s="264" t="s">
        <v>72</v>
      </c>
      <c r="D280" s="259" t="s">
        <v>432</v>
      </c>
      <c r="E280" s="261" t="s">
        <v>1519</v>
      </c>
    </row>
    <row r="281" spans="2:5" s="264" customFormat="1" x14ac:dyDescent="0.25">
      <c r="B281" s="264" t="s">
        <v>755</v>
      </c>
      <c r="C281" s="264" t="s">
        <v>756</v>
      </c>
      <c r="D281" s="259" t="s">
        <v>758</v>
      </c>
      <c r="E281" s="261" t="s">
        <v>1520</v>
      </c>
    </row>
    <row r="282" spans="2:5" s="264" customFormat="1" x14ac:dyDescent="0.25">
      <c r="B282" s="264" t="s">
        <v>780</v>
      </c>
      <c r="C282" s="264" t="s">
        <v>109</v>
      </c>
      <c r="D282" s="259"/>
      <c r="E282" s="261" t="s">
        <v>1521</v>
      </c>
    </row>
    <row r="283" spans="2:5" s="264" customFormat="1" x14ac:dyDescent="0.25">
      <c r="B283" s="264" t="s">
        <v>1434</v>
      </c>
      <c r="C283" s="264" t="s">
        <v>152</v>
      </c>
      <c r="D283" s="259"/>
      <c r="E283" s="261" t="s">
        <v>1522</v>
      </c>
    </row>
    <row r="284" spans="2:5" s="264" customFormat="1" x14ac:dyDescent="0.25">
      <c r="B284" s="264" t="s">
        <v>706</v>
      </c>
      <c r="C284" s="264" t="s">
        <v>782</v>
      </c>
      <c r="D284" s="259"/>
      <c r="E284" s="261" t="s">
        <v>1523</v>
      </c>
    </row>
    <row r="285" spans="2:5" s="264" customFormat="1" x14ac:dyDescent="0.25">
      <c r="B285" s="264" t="s">
        <v>125</v>
      </c>
      <c r="C285" s="264" t="s">
        <v>145</v>
      </c>
      <c r="D285" s="259"/>
      <c r="E285" s="261" t="s">
        <v>1524</v>
      </c>
    </row>
    <row r="286" spans="2:5" s="264" customFormat="1" x14ac:dyDescent="0.25">
      <c r="B286" s="264" t="s">
        <v>1435</v>
      </c>
      <c r="C286" s="264" t="s">
        <v>89</v>
      </c>
      <c r="D286" s="260"/>
      <c r="E286" s="263" t="s">
        <v>1525</v>
      </c>
    </row>
    <row r="287" spans="2:5" s="264" customFormat="1" x14ac:dyDescent="0.25">
      <c r="B287" s="264" t="s">
        <v>792</v>
      </c>
      <c r="C287" s="264" t="s">
        <v>49</v>
      </c>
      <c r="D287" s="260" t="s">
        <v>1444</v>
      </c>
      <c r="E287" s="263" t="s">
        <v>1526</v>
      </c>
    </row>
    <row r="288" spans="2:5" s="264" customFormat="1" x14ac:dyDescent="0.25">
      <c r="B288" s="264" t="s">
        <v>1436</v>
      </c>
      <c r="C288" s="264" t="s">
        <v>720</v>
      </c>
      <c r="D288" s="260"/>
      <c r="E288" s="263" t="s">
        <v>1527</v>
      </c>
    </row>
    <row r="289" spans="2:5" s="264" customFormat="1" x14ac:dyDescent="0.25">
      <c r="B289" s="264" t="s">
        <v>604</v>
      </c>
      <c r="C289" s="264" t="s">
        <v>605</v>
      </c>
      <c r="D289" s="265"/>
      <c r="E289" s="266" t="s">
        <v>1528</v>
      </c>
    </row>
    <row r="290" spans="2:5" s="264" customFormat="1" x14ac:dyDescent="0.25">
      <c r="B290" s="264" t="s">
        <v>158</v>
      </c>
      <c r="C290" s="264" t="s">
        <v>52</v>
      </c>
      <c r="D290" s="265"/>
      <c r="E290" s="266" t="s">
        <v>1529</v>
      </c>
    </row>
    <row r="291" spans="2:5" s="264" customFormat="1" x14ac:dyDescent="0.25">
      <c r="B291" s="264" t="s">
        <v>103</v>
      </c>
      <c r="C291" s="264" t="s">
        <v>696</v>
      </c>
      <c r="D291" s="267" t="s">
        <v>748</v>
      </c>
      <c r="E291" s="266" t="s">
        <v>1530</v>
      </c>
    </row>
    <row r="292" spans="2:5" s="264" customFormat="1" x14ac:dyDescent="0.25">
      <c r="B292" s="264" t="s">
        <v>573</v>
      </c>
      <c r="C292" s="264" t="s">
        <v>572</v>
      </c>
      <c r="D292" s="267" t="s">
        <v>1445</v>
      </c>
      <c r="E292" s="266" t="s">
        <v>1531</v>
      </c>
    </row>
    <row r="293" spans="2:5" s="264" customFormat="1" x14ac:dyDescent="0.25">
      <c r="B293" s="264" t="s">
        <v>469</v>
      </c>
      <c r="C293" s="264" t="s">
        <v>470</v>
      </c>
      <c r="D293" s="267"/>
      <c r="E293" s="266" t="s">
        <v>1532</v>
      </c>
    </row>
    <row r="294" spans="2:5" s="264" customFormat="1" x14ac:dyDescent="0.25">
      <c r="B294" s="264" t="s">
        <v>1437</v>
      </c>
      <c r="C294" s="264" t="s">
        <v>1438</v>
      </c>
      <c r="D294" s="268">
        <v>273029100</v>
      </c>
      <c r="E294" s="266" t="s">
        <v>1533</v>
      </c>
    </row>
    <row r="295" spans="2:5" s="264" customFormat="1" x14ac:dyDescent="0.25">
      <c r="B295" s="264" t="s">
        <v>507</v>
      </c>
      <c r="C295" s="264" t="s">
        <v>42</v>
      </c>
      <c r="D295" s="269" t="s">
        <v>218</v>
      </c>
      <c r="E295" s="266" t="s">
        <v>1534</v>
      </c>
    </row>
    <row r="296" spans="2:5" s="264" customFormat="1" x14ac:dyDescent="0.25">
      <c r="B296" s="264" t="s">
        <v>11</v>
      </c>
      <c r="C296" s="264" t="s">
        <v>3</v>
      </c>
      <c r="D296" s="267" t="s">
        <v>222</v>
      </c>
      <c r="E296" s="270" t="s">
        <v>793</v>
      </c>
    </row>
    <row r="297" spans="2:5" s="264" customFormat="1" x14ac:dyDescent="0.25">
      <c r="B297" s="264" t="s">
        <v>500</v>
      </c>
      <c r="C297" s="264" t="s">
        <v>79</v>
      </c>
      <c r="D297" s="271" t="s">
        <v>225</v>
      </c>
      <c r="E297" s="266" t="s">
        <v>1535</v>
      </c>
    </row>
    <row r="298" spans="2:5" s="264" customFormat="1" x14ac:dyDescent="0.25">
      <c r="B298" s="264" t="s">
        <v>613</v>
      </c>
      <c r="C298" s="264" t="s">
        <v>612</v>
      </c>
      <c r="D298" s="267" t="s">
        <v>610</v>
      </c>
      <c r="E298" s="270" t="s">
        <v>793</v>
      </c>
    </row>
    <row r="299" spans="2:5" s="264" customFormat="1" x14ac:dyDescent="0.25">
      <c r="B299" s="264" t="s">
        <v>10</v>
      </c>
      <c r="C299" s="264" t="s">
        <v>4</v>
      </c>
      <c r="D299" s="268" t="s">
        <v>551</v>
      </c>
      <c r="E299" s="266" t="s">
        <v>1536</v>
      </c>
    </row>
    <row r="300" spans="2:5" s="264" customFormat="1" x14ac:dyDescent="0.25">
      <c r="B300" s="264" t="s">
        <v>144</v>
      </c>
      <c r="C300" s="264" t="s">
        <v>167</v>
      </c>
      <c r="D300" s="268" t="s">
        <v>236</v>
      </c>
      <c r="E300" s="266" t="s">
        <v>1537</v>
      </c>
    </row>
    <row r="301" spans="2:5" s="264" customFormat="1" x14ac:dyDescent="0.25">
      <c r="B301" s="264" t="s">
        <v>428</v>
      </c>
      <c r="C301" s="264" t="s">
        <v>143</v>
      </c>
      <c r="D301" s="268" t="s">
        <v>776</v>
      </c>
      <c r="E301" s="266" t="s">
        <v>1538</v>
      </c>
    </row>
    <row r="302" spans="2:5" s="264" customFormat="1" x14ac:dyDescent="0.25">
      <c r="B302" s="264" t="s">
        <v>176</v>
      </c>
      <c r="C302" s="264" t="s">
        <v>1439</v>
      </c>
      <c r="D302" s="259"/>
      <c r="E302" s="266" t="s">
        <v>1539</v>
      </c>
    </row>
    <row r="303" spans="2:5" s="264" customFormat="1" x14ac:dyDescent="0.25">
      <c r="B303" s="264" t="s">
        <v>1</v>
      </c>
      <c r="C303" s="264" t="s">
        <v>783</v>
      </c>
      <c r="D303" s="259"/>
      <c r="E303" s="266" t="s">
        <v>1540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97"/>
  <sheetViews>
    <sheetView topLeftCell="A111" workbookViewId="0">
      <selection activeCell="E22" sqref="E22"/>
    </sheetView>
  </sheetViews>
  <sheetFormatPr defaultRowHeight="13.2" x14ac:dyDescent="0.25"/>
  <cols>
    <col min="1" max="2" width="25.6640625" customWidth="1"/>
    <col min="5" max="5" width="16.6640625" bestFit="1" customWidth="1"/>
  </cols>
  <sheetData>
    <row r="1" spans="1:5" x14ac:dyDescent="0.25">
      <c r="A1" s="5" t="s">
        <v>1560</v>
      </c>
      <c r="B1" s="5" t="s">
        <v>1855</v>
      </c>
      <c r="C1" s="14" t="s">
        <v>417</v>
      </c>
      <c r="D1" s="225" t="s">
        <v>418</v>
      </c>
      <c r="E1" s="204" t="s">
        <v>1263</v>
      </c>
    </row>
    <row r="2" spans="1:5" x14ac:dyDescent="0.25">
      <c r="A2" s="143" t="s">
        <v>1561</v>
      </c>
      <c r="B2" s="143" t="s">
        <v>1856</v>
      </c>
      <c r="C2" s="6" t="s">
        <v>635</v>
      </c>
      <c r="D2" s="201">
        <v>245179790</v>
      </c>
      <c r="E2" s="207" t="s">
        <v>960</v>
      </c>
    </row>
    <row r="3" spans="1:5" x14ac:dyDescent="0.25">
      <c r="A3" s="5" t="s">
        <v>1562</v>
      </c>
      <c r="B3" s="5" t="s">
        <v>1857</v>
      </c>
      <c r="C3" s="14" t="s">
        <v>562</v>
      </c>
      <c r="D3" s="14" t="s">
        <v>561</v>
      </c>
      <c r="E3" s="208" t="s">
        <v>1041</v>
      </c>
    </row>
    <row r="4" spans="1:5" x14ac:dyDescent="0.25">
      <c r="A4" s="5" t="s">
        <v>1563</v>
      </c>
      <c r="B4" s="5" t="s">
        <v>1858</v>
      </c>
      <c r="C4" s="14" t="s">
        <v>518</v>
      </c>
      <c r="D4" s="14" t="s">
        <v>519</v>
      </c>
      <c r="E4" s="208" t="s">
        <v>1380</v>
      </c>
    </row>
    <row r="5" spans="1:5" x14ac:dyDescent="0.25">
      <c r="A5" s="139" t="s">
        <v>1564</v>
      </c>
      <c r="B5" s="139" t="s">
        <v>1859</v>
      </c>
      <c r="C5" s="140" t="s">
        <v>715</v>
      </c>
      <c r="D5" s="140" t="s">
        <v>716</v>
      </c>
      <c r="E5" s="209" t="s">
        <v>1344</v>
      </c>
    </row>
    <row r="6" spans="1:5" x14ac:dyDescent="0.25">
      <c r="A6" s="12" t="s">
        <v>1565</v>
      </c>
      <c r="B6" s="12" t="s">
        <v>1860</v>
      </c>
      <c r="C6" s="24" t="s">
        <v>618</v>
      </c>
      <c r="D6" s="202" t="s">
        <v>619</v>
      </c>
      <c r="E6" s="210" t="s">
        <v>1503</v>
      </c>
    </row>
    <row r="7" spans="1:5" x14ac:dyDescent="0.25">
      <c r="A7" s="5" t="s">
        <v>1566</v>
      </c>
      <c r="B7" s="5" t="s">
        <v>1861</v>
      </c>
      <c r="C7" s="14" t="s">
        <v>280</v>
      </c>
      <c r="D7" s="14" t="s">
        <v>554</v>
      </c>
      <c r="E7" s="208" t="s">
        <v>1477</v>
      </c>
    </row>
    <row r="8" spans="1:5" x14ac:dyDescent="0.25">
      <c r="A8" s="5" t="s">
        <v>1567</v>
      </c>
      <c r="B8" s="5" t="s">
        <v>1862</v>
      </c>
      <c r="C8" s="23" t="s">
        <v>793</v>
      </c>
      <c r="D8" s="14"/>
      <c r="E8" s="208" t="s">
        <v>1374</v>
      </c>
    </row>
    <row r="9" spans="1:5" x14ac:dyDescent="0.25">
      <c r="A9" s="5" t="s">
        <v>1568</v>
      </c>
      <c r="B9" s="5" t="s">
        <v>1863</v>
      </c>
      <c r="C9" s="14" t="s">
        <v>354</v>
      </c>
      <c r="D9" s="14" t="s">
        <v>672</v>
      </c>
      <c r="E9" s="208" t="s">
        <v>1466</v>
      </c>
    </row>
    <row r="10" spans="1:5" x14ac:dyDescent="0.25">
      <c r="A10" s="5" t="s">
        <v>1569</v>
      </c>
      <c r="B10" s="5" t="s">
        <v>1864</v>
      </c>
      <c r="C10" s="14" t="s">
        <v>565</v>
      </c>
      <c r="D10" s="14" t="s">
        <v>564</v>
      </c>
      <c r="E10" s="208" t="s">
        <v>1502</v>
      </c>
    </row>
    <row r="11" spans="1:5" x14ac:dyDescent="0.25">
      <c r="A11" s="177" t="s">
        <v>1570</v>
      </c>
      <c r="B11" s="177" t="s">
        <v>1865</v>
      </c>
      <c r="C11" s="181" t="s">
        <v>633</v>
      </c>
      <c r="D11" s="178" t="s">
        <v>634</v>
      </c>
      <c r="E11" s="211" t="s">
        <v>1008</v>
      </c>
    </row>
    <row r="12" spans="1:5" x14ac:dyDescent="0.25">
      <c r="A12" s="5" t="s">
        <v>1571</v>
      </c>
      <c r="B12" s="5" t="s">
        <v>1866</v>
      </c>
      <c r="C12" s="14" t="s">
        <v>583</v>
      </c>
      <c r="D12" s="14" t="s">
        <v>584</v>
      </c>
      <c r="E12" s="208" t="s">
        <v>1140</v>
      </c>
    </row>
    <row r="13" spans="1:5" x14ac:dyDescent="0.25">
      <c r="A13" s="177" t="s">
        <v>1572</v>
      </c>
      <c r="B13" s="177" t="s">
        <v>1867</v>
      </c>
      <c r="C13" s="188" t="s">
        <v>793</v>
      </c>
      <c r="D13" s="203"/>
      <c r="E13" s="212" t="s">
        <v>1546</v>
      </c>
    </row>
    <row r="14" spans="1:5" x14ac:dyDescent="0.25">
      <c r="A14" s="5" t="s">
        <v>1573</v>
      </c>
      <c r="B14" s="5" t="s">
        <v>1868</v>
      </c>
      <c r="C14" s="6" t="s">
        <v>683</v>
      </c>
      <c r="D14" s="201" t="s">
        <v>682</v>
      </c>
      <c r="E14" s="207" t="s">
        <v>1251</v>
      </c>
    </row>
    <row r="15" spans="1:5" x14ac:dyDescent="0.25">
      <c r="A15" s="5" t="s">
        <v>1574</v>
      </c>
      <c r="B15" s="5" t="s">
        <v>1869</v>
      </c>
      <c r="C15" s="14" t="s">
        <v>320</v>
      </c>
      <c r="D15" s="23" t="s">
        <v>321</v>
      </c>
      <c r="E15" s="204" t="s">
        <v>1450</v>
      </c>
    </row>
    <row r="16" spans="1:5" x14ac:dyDescent="0.25">
      <c r="A16" s="5" t="s">
        <v>1575</v>
      </c>
      <c r="B16" s="5" t="s">
        <v>1870</v>
      </c>
      <c r="C16" s="6" t="s">
        <v>663</v>
      </c>
      <c r="D16" s="201" t="s">
        <v>664</v>
      </c>
      <c r="E16" s="207" t="s">
        <v>1299</v>
      </c>
    </row>
    <row r="17" spans="1:5" x14ac:dyDescent="0.25">
      <c r="A17" s="177" t="s">
        <v>1576</v>
      </c>
      <c r="B17" s="177" t="s">
        <v>1871</v>
      </c>
      <c r="C17" s="178" t="s">
        <v>679</v>
      </c>
      <c r="D17" s="178" t="s">
        <v>678</v>
      </c>
      <c r="E17" s="211" t="s">
        <v>999</v>
      </c>
    </row>
    <row r="18" spans="1:5" x14ac:dyDescent="0.25">
      <c r="A18" s="177" t="s">
        <v>1577</v>
      </c>
      <c r="B18" s="177" t="s">
        <v>1872</v>
      </c>
      <c r="C18" s="178" t="s">
        <v>731</v>
      </c>
      <c r="D18" s="178" t="s">
        <v>732</v>
      </c>
      <c r="E18" s="211" t="s">
        <v>1224</v>
      </c>
    </row>
    <row r="19" spans="1:5" x14ac:dyDescent="0.25">
      <c r="A19" s="179" t="s">
        <v>1578</v>
      </c>
      <c r="B19" s="179" t="s">
        <v>1873</v>
      </c>
      <c r="C19" s="186" t="s">
        <v>730</v>
      </c>
      <c r="D19" s="187">
        <v>334714735</v>
      </c>
      <c r="E19" s="213" t="s">
        <v>1481</v>
      </c>
    </row>
    <row r="20" spans="1:5" x14ac:dyDescent="0.25">
      <c r="A20" s="177" t="s">
        <v>1579</v>
      </c>
      <c r="B20" s="177" t="s">
        <v>1874</v>
      </c>
      <c r="C20" s="181" t="s">
        <v>793</v>
      </c>
      <c r="D20" s="178"/>
      <c r="E20" s="211" t="s">
        <v>1547</v>
      </c>
    </row>
    <row r="21" spans="1:5" x14ac:dyDescent="0.25">
      <c r="A21" s="5" t="s">
        <v>1580</v>
      </c>
      <c r="B21" s="5" t="s">
        <v>1875</v>
      </c>
      <c r="C21" s="14" t="s">
        <v>270</v>
      </c>
      <c r="D21" s="23" t="s">
        <v>271</v>
      </c>
      <c r="E21" s="204" t="s">
        <v>1182</v>
      </c>
    </row>
    <row r="22" spans="1:5" x14ac:dyDescent="0.25">
      <c r="A22" s="5" t="s">
        <v>1581</v>
      </c>
      <c r="B22" s="5" t="s">
        <v>1876</v>
      </c>
      <c r="C22" s="6" t="s">
        <v>681</v>
      </c>
      <c r="D22" s="201" t="s">
        <v>680</v>
      </c>
      <c r="E22" s="207" t="s">
        <v>1499</v>
      </c>
    </row>
    <row r="23" spans="1:5" x14ac:dyDescent="0.25">
      <c r="A23" s="177" t="s">
        <v>1582</v>
      </c>
      <c r="B23" s="177" t="s">
        <v>1877</v>
      </c>
      <c r="C23" s="181" t="s">
        <v>414</v>
      </c>
      <c r="D23" s="181" t="s">
        <v>415</v>
      </c>
      <c r="E23" s="214" t="s">
        <v>1514</v>
      </c>
    </row>
    <row r="24" spans="1:5" x14ac:dyDescent="0.25">
      <c r="A24" s="177" t="s">
        <v>1583</v>
      </c>
      <c r="B24" s="177" t="s">
        <v>1878</v>
      </c>
      <c r="C24" s="178" t="s">
        <v>344</v>
      </c>
      <c r="D24" s="178" t="s">
        <v>345</v>
      </c>
      <c r="E24" s="215" t="s">
        <v>1482</v>
      </c>
    </row>
    <row r="25" spans="1:5" x14ac:dyDescent="0.25">
      <c r="A25" s="177" t="s">
        <v>1584</v>
      </c>
      <c r="B25" s="177" t="s">
        <v>1879</v>
      </c>
      <c r="C25" s="178" t="s">
        <v>264</v>
      </c>
      <c r="D25" s="181" t="s">
        <v>265</v>
      </c>
      <c r="E25" s="214" t="s">
        <v>1164</v>
      </c>
    </row>
    <row r="26" spans="1:5" x14ac:dyDescent="0.25">
      <c r="A26" s="177" t="s">
        <v>1585</v>
      </c>
      <c r="B26" s="177" t="s">
        <v>1880</v>
      </c>
      <c r="C26" s="180" t="s">
        <v>640</v>
      </c>
      <c r="D26" s="203" t="s">
        <v>642</v>
      </c>
      <c r="E26" s="212" t="s">
        <v>1494</v>
      </c>
    </row>
    <row r="27" spans="1:5" x14ac:dyDescent="0.25">
      <c r="A27" s="177" t="s">
        <v>1586</v>
      </c>
      <c r="B27" s="177" t="s">
        <v>1881</v>
      </c>
      <c r="C27" s="178" t="s">
        <v>476</v>
      </c>
      <c r="D27" s="178" t="s">
        <v>475</v>
      </c>
      <c r="E27" s="211" t="s">
        <v>804</v>
      </c>
    </row>
    <row r="28" spans="1:5" x14ac:dyDescent="0.25">
      <c r="A28" s="177" t="s">
        <v>1587</v>
      </c>
      <c r="B28" s="177" t="s">
        <v>1882</v>
      </c>
      <c r="C28" s="178" t="s">
        <v>645</v>
      </c>
      <c r="D28" s="178" t="s">
        <v>671</v>
      </c>
      <c r="E28" s="211" t="s">
        <v>1170</v>
      </c>
    </row>
    <row r="29" spans="1:5" x14ac:dyDescent="0.25">
      <c r="A29" s="277" t="s">
        <v>1588</v>
      </c>
      <c r="B29" s="277" t="s">
        <v>1883</v>
      </c>
      <c r="C29" s="185" t="s">
        <v>651</v>
      </c>
      <c r="D29" s="185" t="s">
        <v>652</v>
      </c>
      <c r="E29" s="217" t="s">
        <v>1504</v>
      </c>
    </row>
    <row r="30" spans="1:5" x14ac:dyDescent="0.25">
      <c r="A30" s="177" t="s">
        <v>1589</v>
      </c>
      <c r="B30" s="177" t="s">
        <v>1884</v>
      </c>
      <c r="C30" s="178" t="s">
        <v>597</v>
      </c>
      <c r="D30" s="178">
        <v>183888391</v>
      </c>
      <c r="E30" s="211" t="s">
        <v>915</v>
      </c>
    </row>
    <row r="31" spans="1:5" x14ac:dyDescent="0.25">
      <c r="A31" s="177" t="s">
        <v>1590</v>
      </c>
      <c r="B31" s="177" t="s">
        <v>1885</v>
      </c>
      <c r="C31" s="178" t="s">
        <v>511</v>
      </c>
      <c r="D31" s="178" t="s">
        <v>512</v>
      </c>
      <c r="E31" s="211" t="s">
        <v>1128</v>
      </c>
    </row>
    <row r="32" spans="1:5" x14ac:dyDescent="0.25">
      <c r="A32" s="192" t="s">
        <v>1591</v>
      </c>
      <c r="B32" s="192" t="s">
        <v>1886</v>
      </c>
      <c r="C32" s="193" t="s">
        <v>289</v>
      </c>
      <c r="D32" s="193" t="s">
        <v>290</v>
      </c>
      <c r="E32" s="218" t="s">
        <v>1134</v>
      </c>
    </row>
    <row r="33" spans="1:5" x14ac:dyDescent="0.25">
      <c r="A33" s="28" t="s">
        <v>1592</v>
      </c>
      <c r="B33" s="28" t="s">
        <v>1887</v>
      </c>
      <c r="C33" s="14" t="s">
        <v>463</v>
      </c>
      <c r="D33" s="14" t="s">
        <v>447</v>
      </c>
      <c r="E33" s="208" t="s">
        <v>1483</v>
      </c>
    </row>
    <row r="34" spans="1:5" x14ac:dyDescent="0.25">
      <c r="A34" s="5" t="s">
        <v>1593</v>
      </c>
      <c r="B34" s="5" t="s">
        <v>1888</v>
      </c>
      <c r="C34" s="14" t="s">
        <v>539</v>
      </c>
      <c r="D34" s="14" t="s">
        <v>540</v>
      </c>
      <c r="E34" s="208" t="s">
        <v>1119</v>
      </c>
    </row>
    <row r="35" spans="1:5" x14ac:dyDescent="0.25">
      <c r="A35" s="177" t="s">
        <v>1594</v>
      </c>
      <c r="B35" s="177" t="s">
        <v>1889</v>
      </c>
      <c r="C35" s="178" t="s">
        <v>387</v>
      </c>
      <c r="D35" s="178" t="s">
        <v>388</v>
      </c>
      <c r="E35" s="211" t="s">
        <v>1227</v>
      </c>
    </row>
    <row r="36" spans="1:5" x14ac:dyDescent="0.25">
      <c r="A36" s="177" t="s">
        <v>1595</v>
      </c>
      <c r="B36" s="177" t="s">
        <v>1890</v>
      </c>
      <c r="C36" s="181" t="s">
        <v>487</v>
      </c>
      <c r="D36" s="178" t="s">
        <v>488</v>
      </c>
      <c r="E36" s="211" t="s">
        <v>1311</v>
      </c>
    </row>
    <row r="37" spans="1:5" x14ac:dyDescent="0.25">
      <c r="A37" s="5" t="s">
        <v>1596</v>
      </c>
      <c r="B37" s="5" t="s">
        <v>1891</v>
      </c>
      <c r="C37" s="14" t="s">
        <v>406</v>
      </c>
      <c r="D37" s="14" t="s">
        <v>407</v>
      </c>
      <c r="E37" s="208" t="s">
        <v>1248</v>
      </c>
    </row>
    <row r="38" spans="1:5" x14ac:dyDescent="0.25">
      <c r="A38" s="5" t="s">
        <v>1597</v>
      </c>
      <c r="B38" s="5" t="s">
        <v>1892</v>
      </c>
      <c r="C38" s="14" t="s">
        <v>334</v>
      </c>
      <c r="D38" s="14" t="s">
        <v>335</v>
      </c>
      <c r="E38" s="208" t="s">
        <v>1469</v>
      </c>
    </row>
    <row r="39" spans="1:5" x14ac:dyDescent="0.25">
      <c r="A39" s="5" t="s">
        <v>1598</v>
      </c>
      <c r="B39" s="5" t="s">
        <v>1893</v>
      </c>
      <c r="C39" s="14" t="s">
        <v>425</v>
      </c>
      <c r="D39" s="23" t="s">
        <v>426</v>
      </c>
      <c r="E39" s="204" t="s">
        <v>1236</v>
      </c>
    </row>
    <row r="40" spans="1:5" x14ac:dyDescent="0.25">
      <c r="A40" s="143" t="s">
        <v>1599</v>
      </c>
      <c r="B40" s="143" t="s">
        <v>1894</v>
      </c>
      <c r="C40" s="14" t="s">
        <v>533</v>
      </c>
      <c r="D40" s="14" t="s">
        <v>532</v>
      </c>
      <c r="E40" s="204" t="s">
        <v>837</v>
      </c>
    </row>
    <row r="41" spans="1:5" x14ac:dyDescent="0.25">
      <c r="A41" s="177" t="s">
        <v>1600</v>
      </c>
      <c r="B41" s="177" t="s">
        <v>1895</v>
      </c>
      <c r="C41" s="178" t="s">
        <v>631</v>
      </c>
      <c r="D41" s="178">
        <v>225091089</v>
      </c>
      <c r="E41" s="204" t="s">
        <v>1513</v>
      </c>
    </row>
    <row r="42" spans="1:5" x14ac:dyDescent="0.25">
      <c r="A42" s="5" t="s">
        <v>1601</v>
      </c>
      <c r="B42" s="5" t="s">
        <v>1896</v>
      </c>
      <c r="C42" s="6" t="s">
        <v>274</v>
      </c>
      <c r="D42" s="6" t="s">
        <v>275</v>
      </c>
      <c r="E42" s="204" t="s">
        <v>849</v>
      </c>
    </row>
    <row r="43" spans="1:5" x14ac:dyDescent="0.25">
      <c r="A43" s="5" t="s">
        <v>1602</v>
      </c>
      <c r="B43" s="5" t="s">
        <v>1897</v>
      </c>
      <c r="C43" s="14" t="s">
        <v>1419</v>
      </c>
      <c r="D43" s="23" t="s">
        <v>365</v>
      </c>
      <c r="E43" s="204" t="s">
        <v>1185</v>
      </c>
    </row>
    <row r="44" spans="1:5" x14ac:dyDescent="0.25">
      <c r="A44" s="5" t="s">
        <v>1603</v>
      </c>
      <c r="B44" s="5" t="s">
        <v>1898</v>
      </c>
      <c r="C44" s="6" t="s">
        <v>310</v>
      </c>
      <c r="D44" s="6" t="s">
        <v>311</v>
      </c>
      <c r="E44" s="204" t="s">
        <v>828</v>
      </c>
    </row>
    <row r="45" spans="1:5" x14ac:dyDescent="0.25">
      <c r="A45" s="177" t="s">
        <v>1604</v>
      </c>
      <c r="B45" s="177" t="s">
        <v>1899</v>
      </c>
      <c r="C45" s="181" t="s">
        <v>383</v>
      </c>
      <c r="D45" s="181" t="s">
        <v>384</v>
      </c>
      <c r="E45" s="204" t="s">
        <v>1032</v>
      </c>
    </row>
    <row r="46" spans="1:5" x14ac:dyDescent="0.25">
      <c r="A46" s="143" t="s">
        <v>1605</v>
      </c>
      <c r="B46" s="143" t="s">
        <v>1900</v>
      </c>
      <c r="C46" s="14" t="s">
        <v>588</v>
      </c>
      <c r="D46" s="14">
        <v>281182732</v>
      </c>
      <c r="E46" s="204" t="s">
        <v>954</v>
      </c>
    </row>
    <row r="47" spans="1:5" x14ac:dyDescent="0.25">
      <c r="A47" s="5" t="s">
        <v>1606</v>
      </c>
      <c r="B47" s="5" t="s">
        <v>1901</v>
      </c>
      <c r="C47" s="157" t="s">
        <v>314</v>
      </c>
      <c r="D47" s="157" t="s">
        <v>315</v>
      </c>
      <c r="E47" s="204" t="s">
        <v>1474</v>
      </c>
    </row>
    <row r="48" spans="1:5" x14ac:dyDescent="0.25">
      <c r="A48" s="143" t="s">
        <v>1607</v>
      </c>
      <c r="B48" s="143" t="s">
        <v>1902</v>
      </c>
      <c r="C48" s="183" t="s">
        <v>793</v>
      </c>
      <c r="D48" s="157"/>
      <c r="E48" s="204" t="s">
        <v>1526</v>
      </c>
    </row>
    <row r="49" spans="1:5" x14ac:dyDescent="0.25">
      <c r="A49" s="5" t="s">
        <v>1608</v>
      </c>
      <c r="B49" s="5" t="s">
        <v>1903</v>
      </c>
      <c r="C49" s="14" t="s">
        <v>751</v>
      </c>
      <c r="D49" s="14" t="s">
        <v>723</v>
      </c>
      <c r="E49" s="204" t="s">
        <v>1266</v>
      </c>
    </row>
    <row r="50" spans="1:5" x14ac:dyDescent="0.25">
      <c r="A50" s="139" t="s">
        <v>1609</v>
      </c>
      <c r="B50" s="139" t="s">
        <v>1904</v>
      </c>
      <c r="C50" s="140" t="s">
        <v>759</v>
      </c>
      <c r="D50" s="140" t="s">
        <v>760</v>
      </c>
      <c r="E50" s="204" t="s">
        <v>1113</v>
      </c>
    </row>
    <row r="51" spans="1:5" x14ac:dyDescent="0.25">
      <c r="A51" s="5" t="s">
        <v>1610</v>
      </c>
      <c r="B51" s="5" t="s">
        <v>1905</v>
      </c>
      <c r="C51" s="6" t="s">
        <v>284</v>
      </c>
      <c r="D51" s="6" t="s">
        <v>285</v>
      </c>
      <c r="E51" s="204" t="s">
        <v>1302</v>
      </c>
    </row>
    <row r="52" spans="1:5" x14ac:dyDescent="0.25">
      <c r="A52" s="5" t="s">
        <v>1611</v>
      </c>
      <c r="B52" s="5" t="s">
        <v>1906</v>
      </c>
      <c r="C52" s="23" t="s">
        <v>717</v>
      </c>
      <c r="D52" s="14" t="s">
        <v>718</v>
      </c>
      <c r="E52" s="204" t="s">
        <v>816</v>
      </c>
    </row>
    <row r="53" spans="1:5" x14ac:dyDescent="0.25">
      <c r="A53" s="5" t="s">
        <v>1612</v>
      </c>
      <c r="B53" s="5" t="s">
        <v>1907</v>
      </c>
      <c r="C53" s="6" t="s">
        <v>734</v>
      </c>
      <c r="D53" s="6">
        <v>241160419</v>
      </c>
      <c r="E53" s="204" t="s">
        <v>1197</v>
      </c>
    </row>
    <row r="54" spans="1:5" x14ac:dyDescent="0.25">
      <c r="A54" s="5" t="s">
        <v>1613</v>
      </c>
      <c r="B54" s="5" t="s">
        <v>1908</v>
      </c>
      <c r="C54" s="6" t="s">
        <v>726</v>
      </c>
      <c r="D54" s="6">
        <v>162956031</v>
      </c>
      <c r="E54" s="204" t="s">
        <v>1038</v>
      </c>
    </row>
    <row r="55" spans="1:5" x14ac:dyDescent="0.25">
      <c r="A55" s="5" t="s">
        <v>1614</v>
      </c>
      <c r="B55" s="5" t="s">
        <v>1909</v>
      </c>
      <c r="C55" s="23" t="s">
        <v>793</v>
      </c>
      <c r="D55" s="14"/>
      <c r="E55" s="204" t="s">
        <v>1548</v>
      </c>
    </row>
    <row r="56" spans="1:5" x14ac:dyDescent="0.25">
      <c r="A56" s="177" t="s">
        <v>1615</v>
      </c>
      <c r="B56" s="177" t="s">
        <v>1910</v>
      </c>
      <c r="C56" s="178" t="s">
        <v>396</v>
      </c>
      <c r="D56" s="178" t="s">
        <v>397</v>
      </c>
      <c r="E56" s="204" t="s">
        <v>1452</v>
      </c>
    </row>
    <row r="57" spans="1:5" x14ac:dyDescent="0.25">
      <c r="A57" s="177" t="s">
        <v>1616</v>
      </c>
      <c r="B57" s="177" t="s">
        <v>1911</v>
      </c>
      <c r="C57" s="180" t="s">
        <v>392</v>
      </c>
      <c r="D57" s="180" t="s">
        <v>393</v>
      </c>
      <c r="E57" s="204" t="s">
        <v>1454</v>
      </c>
    </row>
    <row r="58" spans="1:5" x14ac:dyDescent="0.25">
      <c r="A58" s="177" t="s">
        <v>1617</v>
      </c>
      <c r="B58" s="177" t="s">
        <v>1912</v>
      </c>
      <c r="C58" s="180" t="s">
        <v>478</v>
      </c>
      <c r="D58" s="180" t="s">
        <v>479</v>
      </c>
      <c r="E58" s="204" t="s">
        <v>963</v>
      </c>
    </row>
    <row r="59" spans="1:5" x14ac:dyDescent="0.25">
      <c r="A59" s="177" t="s">
        <v>1618</v>
      </c>
      <c r="B59" s="177" t="s">
        <v>1913</v>
      </c>
      <c r="C59" s="178" t="s">
        <v>789</v>
      </c>
      <c r="D59" s="181">
        <v>142119420</v>
      </c>
      <c r="E59" s="204" t="s">
        <v>1522</v>
      </c>
    </row>
    <row r="60" spans="1:5" x14ac:dyDescent="0.25">
      <c r="A60" s="5" t="s">
        <v>1619</v>
      </c>
      <c r="B60" s="5" t="s">
        <v>1914</v>
      </c>
      <c r="C60" s="23" t="s">
        <v>661</v>
      </c>
      <c r="D60" s="14" t="s">
        <v>662</v>
      </c>
      <c r="E60" s="204" t="s">
        <v>1074</v>
      </c>
    </row>
    <row r="61" spans="1:5" x14ac:dyDescent="0.25">
      <c r="A61" s="5" t="s">
        <v>1620</v>
      </c>
      <c r="B61" s="5" t="s">
        <v>1915</v>
      </c>
      <c r="C61" s="157" t="s">
        <v>669</v>
      </c>
      <c r="D61" s="157" t="s">
        <v>670</v>
      </c>
      <c r="E61" s="204" t="s">
        <v>1230</v>
      </c>
    </row>
    <row r="62" spans="1:5" x14ac:dyDescent="0.25">
      <c r="A62" s="5" t="s">
        <v>1621</v>
      </c>
      <c r="B62" s="5" t="s">
        <v>1916</v>
      </c>
      <c r="C62" s="14" t="s">
        <v>757</v>
      </c>
      <c r="D62" s="14" t="s">
        <v>758</v>
      </c>
      <c r="E62" s="204" t="s">
        <v>1520</v>
      </c>
    </row>
    <row r="63" spans="1:5" x14ac:dyDescent="0.25">
      <c r="A63" s="5" t="s">
        <v>1622</v>
      </c>
      <c r="B63" s="5" t="s">
        <v>1917</v>
      </c>
      <c r="C63" s="14" t="s">
        <v>733</v>
      </c>
      <c r="D63" s="14">
        <v>215072813</v>
      </c>
      <c r="E63" s="204" t="s">
        <v>1122</v>
      </c>
    </row>
    <row r="64" spans="1:5" x14ac:dyDescent="0.25">
      <c r="A64" s="139" t="s">
        <v>1623</v>
      </c>
      <c r="B64" s="139" t="s">
        <v>1918</v>
      </c>
      <c r="C64" s="140" t="s">
        <v>705</v>
      </c>
      <c r="D64" s="140" t="s">
        <v>704</v>
      </c>
      <c r="E64" s="204" t="s">
        <v>1335</v>
      </c>
    </row>
    <row r="65" spans="1:5" x14ac:dyDescent="0.25">
      <c r="A65" s="177" t="s">
        <v>1624</v>
      </c>
      <c r="B65" s="177" t="s">
        <v>1919</v>
      </c>
      <c r="C65" s="178" t="s">
        <v>590</v>
      </c>
      <c r="D65" s="178" t="s">
        <v>579</v>
      </c>
      <c r="E65" s="204" t="s">
        <v>1467</v>
      </c>
    </row>
    <row r="66" spans="1:5" x14ac:dyDescent="0.25">
      <c r="A66" s="177" t="s">
        <v>1625</v>
      </c>
      <c r="B66" s="177" t="s">
        <v>1920</v>
      </c>
      <c r="C66" s="180" t="s">
        <v>516</v>
      </c>
      <c r="D66" s="180" t="s">
        <v>517</v>
      </c>
      <c r="E66" s="204" t="s">
        <v>1511</v>
      </c>
    </row>
    <row r="67" spans="1:5" x14ac:dyDescent="0.25">
      <c r="A67" s="177" t="s">
        <v>1626</v>
      </c>
      <c r="B67" s="177" t="s">
        <v>1921</v>
      </c>
      <c r="C67" s="181" t="s">
        <v>793</v>
      </c>
      <c r="D67" s="178"/>
      <c r="E67" s="204" t="s">
        <v>1549</v>
      </c>
    </row>
    <row r="68" spans="1:5" x14ac:dyDescent="0.25">
      <c r="A68" s="5" t="s">
        <v>1627</v>
      </c>
      <c r="B68" s="5" t="s">
        <v>1922</v>
      </c>
      <c r="C68" s="14" t="s">
        <v>301</v>
      </c>
      <c r="D68" s="14" t="s">
        <v>302</v>
      </c>
      <c r="E68" s="204" t="s">
        <v>1242</v>
      </c>
    </row>
    <row r="69" spans="1:5" x14ac:dyDescent="0.25">
      <c r="A69" s="278" t="s">
        <v>1628</v>
      </c>
      <c r="B69" s="278" t="s">
        <v>1923</v>
      </c>
      <c r="C69" s="23" t="s">
        <v>793</v>
      </c>
      <c r="D69" s="14"/>
      <c r="E69" s="273" t="s">
        <v>1550</v>
      </c>
    </row>
    <row r="70" spans="1:5" x14ac:dyDescent="0.25">
      <c r="A70" s="177" t="s">
        <v>1629</v>
      </c>
      <c r="B70" s="177" t="s">
        <v>1924</v>
      </c>
      <c r="C70" s="178" t="s">
        <v>372</v>
      </c>
      <c r="D70" s="178" t="s">
        <v>373</v>
      </c>
      <c r="E70" s="204" t="s">
        <v>852</v>
      </c>
    </row>
    <row r="71" spans="1:5" x14ac:dyDescent="0.25">
      <c r="A71" s="189" t="s">
        <v>1630</v>
      </c>
      <c r="B71" s="189" t="s">
        <v>1925</v>
      </c>
      <c r="C71" s="178" t="s">
        <v>287</v>
      </c>
      <c r="D71" s="178" t="s">
        <v>288</v>
      </c>
      <c r="E71" s="273" t="s">
        <v>1458</v>
      </c>
    </row>
    <row r="72" spans="1:5" x14ac:dyDescent="0.25">
      <c r="A72" s="28" t="s">
        <v>1631</v>
      </c>
      <c r="B72" s="28" t="s">
        <v>1926</v>
      </c>
      <c r="C72" s="14" t="s">
        <v>377</v>
      </c>
      <c r="D72" s="14" t="s">
        <v>378</v>
      </c>
      <c r="E72" s="230" t="s">
        <v>1551</v>
      </c>
    </row>
    <row r="73" spans="1:5" x14ac:dyDescent="0.25">
      <c r="A73" s="5" t="s">
        <v>1632</v>
      </c>
      <c r="B73" s="5" t="s">
        <v>1927</v>
      </c>
      <c r="C73" s="14" t="s">
        <v>653</v>
      </c>
      <c r="D73" s="23">
        <v>172038321</v>
      </c>
      <c r="E73" s="204" t="s">
        <v>1317</v>
      </c>
    </row>
    <row r="74" spans="1:5" x14ac:dyDescent="0.25">
      <c r="A74" s="5" t="s">
        <v>1633</v>
      </c>
      <c r="B74" s="5" t="s">
        <v>1928</v>
      </c>
      <c r="C74" s="157" t="s">
        <v>721</v>
      </c>
      <c r="D74" s="157" t="s">
        <v>722</v>
      </c>
      <c r="E74" s="204" t="s">
        <v>1290</v>
      </c>
    </row>
    <row r="75" spans="1:5" x14ac:dyDescent="0.25">
      <c r="A75" s="5" t="s">
        <v>1634</v>
      </c>
      <c r="B75" s="5" t="s">
        <v>1929</v>
      </c>
      <c r="C75" s="6" t="s">
        <v>599</v>
      </c>
      <c r="D75" s="6" t="s">
        <v>600</v>
      </c>
      <c r="E75" s="204" t="s">
        <v>981</v>
      </c>
    </row>
    <row r="76" spans="1:5" x14ac:dyDescent="0.25">
      <c r="A76" s="5" t="s">
        <v>1635</v>
      </c>
      <c r="B76" s="5" t="s">
        <v>1930</v>
      </c>
      <c r="C76" s="6" t="s">
        <v>510</v>
      </c>
      <c r="D76" s="6" t="s">
        <v>513</v>
      </c>
      <c r="E76" s="204" t="s">
        <v>1495</v>
      </c>
    </row>
    <row r="77" spans="1:5" x14ac:dyDescent="0.25">
      <c r="A77" s="5" t="s">
        <v>1636</v>
      </c>
      <c r="B77" s="5" t="s">
        <v>1931</v>
      </c>
      <c r="C77" s="14" t="s">
        <v>624</v>
      </c>
      <c r="D77" s="14">
        <v>340838037</v>
      </c>
      <c r="E77" s="204" t="s">
        <v>1035</v>
      </c>
    </row>
    <row r="78" spans="1:5" x14ac:dyDescent="0.25">
      <c r="A78" s="5" t="s">
        <v>1637</v>
      </c>
      <c r="B78" s="5" t="s">
        <v>1932</v>
      </c>
      <c r="C78" s="14" t="s">
        <v>784</v>
      </c>
      <c r="D78" s="14">
        <v>221229729</v>
      </c>
      <c r="E78" s="204" t="s">
        <v>1194</v>
      </c>
    </row>
    <row r="79" spans="1:5" x14ac:dyDescent="0.25">
      <c r="A79" s="5" t="s">
        <v>1638</v>
      </c>
      <c r="B79" s="5" t="s">
        <v>1933</v>
      </c>
      <c r="C79" s="157" t="s">
        <v>402</v>
      </c>
      <c r="D79" s="157" t="s">
        <v>403</v>
      </c>
      <c r="E79" s="204" t="s">
        <v>1471</v>
      </c>
    </row>
    <row r="80" spans="1:5" x14ac:dyDescent="0.25">
      <c r="A80" s="5" t="s">
        <v>1639</v>
      </c>
      <c r="B80" s="5" t="s">
        <v>1934</v>
      </c>
      <c r="C80" s="23" t="s">
        <v>444</v>
      </c>
      <c r="D80" s="14">
        <v>361989243</v>
      </c>
      <c r="E80" s="204" t="s">
        <v>1455</v>
      </c>
    </row>
    <row r="81" spans="1:5" x14ac:dyDescent="0.25">
      <c r="A81" s="5" t="s">
        <v>1640</v>
      </c>
      <c r="B81" s="5" t="s">
        <v>1935</v>
      </c>
      <c r="C81" s="14" t="s">
        <v>362</v>
      </c>
      <c r="D81" s="14" t="s">
        <v>363</v>
      </c>
      <c r="E81" s="204" t="s">
        <v>1461</v>
      </c>
    </row>
    <row r="82" spans="1:5" x14ac:dyDescent="0.25">
      <c r="A82" s="139" t="s">
        <v>1641</v>
      </c>
      <c r="B82" s="139" t="s">
        <v>1936</v>
      </c>
      <c r="C82" s="140" t="s">
        <v>728</v>
      </c>
      <c r="D82" s="140">
        <v>163121157</v>
      </c>
      <c r="E82" s="204" t="s">
        <v>1484</v>
      </c>
    </row>
    <row r="83" spans="1:5" x14ac:dyDescent="0.25">
      <c r="A83" s="5" t="s">
        <v>1642</v>
      </c>
      <c r="B83" s="5" t="s">
        <v>1937</v>
      </c>
      <c r="C83" s="14" t="s">
        <v>632</v>
      </c>
      <c r="D83" s="14" t="s">
        <v>615</v>
      </c>
      <c r="E83" s="208" t="s">
        <v>918</v>
      </c>
    </row>
    <row r="84" spans="1:5" x14ac:dyDescent="0.25">
      <c r="A84" s="174" t="s">
        <v>1643</v>
      </c>
      <c r="B84" s="174" t="s">
        <v>1938</v>
      </c>
      <c r="C84" s="175" t="s">
        <v>797</v>
      </c>
      <c r="D84" s="175" t="s">
        <v>795</v>
      </c>
      <c r="E84" s="247" t="s">
        <v>1362</v>
      </c>
    </row>
    <row r="85" spans="1:5" x14ac:dyDescent="0.25">
      <c r="A85" s="190" t="s">
        <v>1644</v>
      </c>
      <c r="B85" s="190" t="s">
        <v>1939</v>
      </c>
      <c r="C85" s="180" t="s">
        <v>529</v>
      </c>
      <c r="D85" s="180" t="s">
        <v>530</v>
      </c>
      <c r="E85" s="212" t="s">
        <v>1500</v>
      </c>
    </row>
    <row r="86" spans="1:5" x14ac:dyDescent="0.25">
      <c r="A86" s="5" t="s">
        <v>1645</v>
      </c>
      <c r="B86" s="5" t="s">
        <v>1940</v>
      </c>
      <c r="C86" s="6" t="s">
        <v>787</v>
      </c>
      <c r="D86" s="6">
        <v>331240170</v>
      </c>
      <c r="E86" s="207" t="s">
        <v>1521</v>
      </c>
    </row>
    <row r="87" spans="1:5" x14ac:dyDescent="0.25">
      <c r="A87" s="5" t="s">
        <v>1646</v>
      </c>
      <c r="B87" s="5" t="s">
        <v>1941</v>
      </c>
      <c r="C87" s="14" t="s">
        <v>453</v>
      </c>
      <c r="D87" s="184" t="s">
        <v>452</v>
      </c>
      <c r="E87" s="248" t="s">
        <v>1506</v>
      </c>
    </row>
    <row r="88" spans="1:5" x14ac:dyDescent="0.25">
      <c r="A88" s="5" t="s">
        <v>1647</v>
      </c>
      <c r="B88" s="5" t="s">
        <v>1942</v>
      </c>
      <c r="C88" s="14" t="s">
        <v>689</v>
      </c>
      <c r="D88" s="14" t="s">
        <v>688</v>
      </c>
      <c r="E88" s="208" t="s">
        <v>990</v>
      </c>
    </row>
    <row r="89" spans="1:5" x14ac:dyDescent="0.25">
      <c r="A89" s="5" t="s">
        <v>1648</v>
      </c>
      <c r="B89" s="5" t="s">
        <v>1943</v>
      </c>
      <c r="C89" s="23" t="s">
        <v>246</v>
      </c>
      <c r="D89" s="23" t="s">
        <v>247</v>
      </c>
      <c r="E89" s="204" t="s">
        <v>1272</v>
      </c>
    </row>
    <row r="90" spans="1:5" x14ac:dyDescent="0.25">
      <c r="A90" s="279" t="s">
        <v>1649</v>
      </c>
      <c r="B90" s="279" t="s">
        <v>1944</v>
      </c>
      <c r="C90" s="186" t="s">
        <v>291</v>
      </c>
      <c r="D90" s="180" t="s">
        <v>292</v>
      </c>
      <c r="E90" s="212" t="s">
        <v>1212</v>
      </c>
    </row>
    <row r="91" spans="1:5" x14ac:dyDescent="0.25">
      <c r="A91" s="5" t="s">
        <v>1650</v>
      </c>
      <c r="B91" s="5" t="s">
        <v>1945</v>
      </c>
      <c r="C91" s="14" t="s">
        <v>770</v>
      </c>
      <c r="D91" s="14">
        <v>273157688</v>
      </c>
      <c r="E91" s="208" t="s">
        <v>1448</v>
      </c>
    </row>
    <row r="92" spans="1:5" x14ac:dyDescent="0.25">
      <c r="A92" s="5" t="s">
        <v>1651</v>
      </c>
      <c r="B92" s="5" t="s">
        <v>1946</v>
      </c>
      <c r="C92" s="14" t="s">
        <v>316</v>
      </c>
      <c r="D92" s="14" t="s">
        <v>317</v>
      </c>
      <c r="E92" s="208" t="s">
        <v>1260</v>
      </c>
    </row>
    <row r="93" spans="1:5" x14ac:dyDescent="0.25">
      <c r="A93" s="177" t="s">
        <v>1652</v>
      </c>
      <c r="B93" s="177" t="s">
        <v>1947</v>
      </c>
      <c r="C93" s="180" t="s">
        <v>338</v>
      </c>
      <c r="D93" s="180" t="s">
        <v>339</v>
      </c>
      <c r="E93" s="212" t="s">
        <v>1498</v>
      </c>
    </row>
    <row r="94" spans="1:5" x14ac:dyDescent="0.25">
      <c r="A94" s="5" t="s">
        <v>1653</v>
      </c>
      <c r="B94" s="5" t="s">
        <v>1948</v>
      </c>
      <c r="C94" s="23" t="s">
        <v>1430</v>
      </c>
      <c r="D94" s="23" t="s">
        <v>286</v>
      </c>
      <c r="E94" s="204" t="s">
        <v>1356</v>
      </c>
    </row>
    <row r="95" spans="1:5" x14ac:dyDescent="0.25">
      <c r="A95" s="139" t="s">
        <v>1654</v>
      </c>
      <c r="B95" s="139" t="s">
        <v>1949</v>
      </c>
      <c r="C95" s="166" t="s">
        <v>326</v>
      </c>
      <c r="D95" s="166" t="s">
        <v>327</v>
      </c>
      <c r="E95" s="229" t="s">
        <v>1365</v>
      </c>
    </row>
    <row r="96" spans="1:5" x14ac:dyDescent="0.25">
      <c r="A96" s="5" t="s">
        <v>1655</v>
      </c>
      <c r="B96" s="5" t="s">
        <v>1950</v>
      </c>
      <c r="C96" s="14" t="s">
        <v>686</v>
      </c>
      <c r="D96" s="14">
        <v>186579258</v>
      </c>
      <c r="E96" s="208" t="s">
        <v>1059</v>
      </c>
    </row>
    <row r="97" spans="1:5" x14ac:dyDescent="0.25">
      <c r="A97" s="5" t="s">
        <v>1656</v>
      </c>
      <c r="B97" s="5" t="s">
        <v>1951</v>
      </c>
      <c r="C97" s="23" t="s">
        <v>295</v>
      </c>
      <c r="D97" s="23" t="s">
        <v>296</v>
      </c>
      <c r="E97" s="204" t="s">
        <v>810</v>
      </c>
    </row>
    <row r="98" spans="1:5" x14ac:dyDescent="0.25">
      <c r="A98" s="5" t="s">
        <v>1657</v>
      </c>
      <c r="B98" s="5" t="s">
        <v>1952</v>
      </c>
      <c r="C98" s="6" t="s">
        <v>623</v>
      </c>
      <c r="D98" s="6">
        <v>273393377</v>
      </c>
      <c r="E98" s="207" t="s">
        <v>1095</v>
      </c>
    </row>
    <row r="99" spans="1:5" x14ac:dyDescent="0.25">
      <c r="A99" s="5" t="s">
        <v>1658</v>
      </c>
      <c r="B99" s="5" t="s">
        <v>1953</v>
      </c>
      <c r="C99" s="23" t="s">
        <v>793</v>
      </c>
      <c r="D99" s="23"/>
      <c r="E99" s="204" t="s">
        <v>1527</v>
      </c>
    </row>
    <row r="100" spans="1:5" x14ac:dyDescent="0.25">
      <c r="A100" s="5" t="s">
        <v>1659</v>
      </c>
      <c r="B100" s="5" t="s">
        <v>1954</v>
      </c>
      <c r="C100" s="14" t="s">
        <v>785</v>
      </c>
      <c r="D100" s="14" t="s">
        <v>786</v>
      </c>
      <c r="E100" s="208" t="s">
        <v>1023</v>
      </c>
    </row>
    <row r="101" spans="1:5" x14ac:dyDescent="0.25">
      <c r="A101" s="5" t="s">
        <v>1660</v>
      </c>
      <c r="B101" s="5" t="s">
        <v>1955</v>
      </c>
      <c r="C101" s="14" t="s">
        <v>685</v>
      </c>
      <c r="D101" s="14">
        <v>183812335</v>
      </c>
      <c r="E101" s="208" t="s">
        <v>1478</v>
      </c>
    </row>
    <row r="102" spans="1:5" x14ac:dyDescent="0.25">
      <c r="A102" s="5" t="s">
        <v>1661</v>
      </c>
      <c r="B102" s="5" t="s">
        <v>1956</v>
      </c>
      <c r="C102" s="14" t="s">
        <v>692</v>
      </c>
      <c r="D102" s="14" t="s">
        <v>691</v>
      </c>
      <c r="E102" s="208" t="s">
        <v>1515</v>
      </c>
    </row>
    <row r="103" spans="1:5" x14ac:dyDescent="0.25">
      <c r="A103" s="12" t="s">
        <v>1662</v>
      </c>
      <c r="B103" s="12" t="s">
        <v>1957</v>
      </c>
      <c r="C103" s="24" t="s">
        <v>709</v>
      </c>
      <c r="D103" s="23" t="s">
        <v>710</v>
      </c>
      <c r="E103" s="204" t="s">
        <v>1275</v>
      </c>
    </row>
    <row r="104" spans="1:5" x14ac:dyDescent="0.25">
      <c r="A104" s="5" t="s">
        <v>1663</v>
      </c>
      <c r="B104" s="5" t="s">
        <v>1958</v>
      </c>
      <c r="C104" s="6" t="s">
        <v>360</v>
      </c>
      <c r="D104" s="6" t="s">
        <v>361</v>
      </c>
      <c r="E104" s="207" t="s">
        <v>1457</v>
      </c>
    </row>
    <row r="105" spans="1:5" x14ac:dyDescent="0.25">
      <c r="A105" s="5" t="s">
        <v>1664</v>
      </c>
      <c r="B105" s="5" t="s">
        <v>1959</v>
      </c>
      <c r="C105" s="23" t="s">
        <v>791</v>
      </c>
      <c r="D105" s="23">
        <v>311562112</v>
      </c>
      <c r="E105" s="204" t="s">
        <v>1523</v>
      </c>
    </row>
    <row r="106" spans="1:5" x14ac:dyDescent="0.25">
      <c r="A106" s="5" t="s">
        <v>1665</v>
      </c>
      <c r="B106" s="5" t="s">
        <v>1960</v>
      </c>
      <c r="C106" s="23" t="s">
        <v>687</v>
      </c>
      <c r="D106" s="14" t="s">
        <v>711</v>
      </c>
      <c r="E106" s="208" t="s">
        <v>1287</v>
      </c>
    </row>
    <row r="107" spans="1:5" x14ac:dyDescent="0.25">
      <c r="A107" s="190" t="s">
        <v>1666</v>
      </c>
      <c r="B107" s="190" t="s">
        <v>1961</v>
      </c>
      <c r="C107" s="178" t="s">
        <v>625</v>
      </c>
      <c r="D107" s="178">
        <v>142190270</v>
      </c>
      <c r="E107" s="211" t="s">
        <v>1456</v>
      </c>
    </row>
    <row r="108" spans="1:5" x14ac:dyDescent="0.25">
      <c r="A108" s="177" t="s">
        <v>1667</v>
      </c>
      <c r="B108" s="177" t="s">
        <v>1962</v>
      </c>
      <c r="C108" s="178" t="s">
        <v>249</v>
      </c>
      <c r="D108" s="178" t="s">
        <v>676</v>
      </c>
      <c r="E108" s="211" t="s">
        <v>1104</v>
      </c>
    </row>
    <row r="109" spans="1:5" x14ac:dyDescent="0.25">
      <c r="A109" s="177" t="s">
        <v>1668</v>
      </c>
      <c r="B109" s="177" t="s">
        <v>1963</v>
      </c>
      <c r="C109" s="178" t="s">
        <v>336</v>
      </c>
      <c r="D109" s="178" t="s">
        <v>337</v>
      </c>
      <c r="E109" s="211" t="s">
        <v>1188</v>
      </c>
    </row>
    <row r="110" spans="1:5" x14ac:dyDescent="0.25">
      <c r="A110" s="174" t="s">
        <v>1669</v>
      </c>
      <c r="B110" s="174" t="s">
        <v>1964</v>
      </c>
      <c r="C110" s="175" t="s">
        <v>435</v>
      </c>
      <c r="D110" s="175" t="s">
        <v>432</v>
      </c>
      <c r="E110" s="247" t="s">
        <v>1519</v>
      </c>
    </row>
    <row r="111" spans="1:5" x14ac:dyDescent="0.25">
      <c r="A111" s="5" t="s">
        <v>1670</v>
      </c>
      <c r="B111" s="5" t="s">
        <v>1965</v>
      </c>
      <c r="C111" s="14" t="s">
        <v>379</v>
      </c>
      <c r="D111" s="23" t="s">
        <v>380</v>
      </c>
      <c r="E111" s="204" t="s">
        <v>807</v>
      </c>
    </row>
    <row r="112" spans="1:5" x14ac:dyDescent="0.25">
      <c r="A112" s="5" t="s">
        <v>1671</v>
      </c>
      <c r="B112" s="5" t="s">
        <v>1966</v>
      </c>
      <c r="C112" s="14" t="s">
        <v>368</v>
      </c>
      <c r="D112" s="14" t="s">
        <v>369</v>
      </c>
      <c r="E112" s="208" t="s">
        <v>1173</v>
      </c>
    </row>
    <row r="113" spans="1:5" x14ac:dyDescent="0.25">
      <c r="A113" s="5" t="s">
        <v>1672</v>
      </c>
      <c r="B113" s="5" t="s">
        <v>1967</v>
      </c>
      <c r="C113" s="23" t="s">
        <v>390</v>
      </c>
      <c r="D113" s="23" t="s">
        <v>391</v>
      </c>
      <c r="E113" s="204" t="s">
        <v>1472</v>
      </c>
    </row>
    <row r="114" spans="1:5" x14ac:dyDescent="0.25">
      <c r="A114" s="5" t="s">
        <v>1673</v>
      </c>
      <c r="B114" s="5" t="s">
        <v>1968</v>
      </c>
      <c r="C114" s="23" t="s">
        <v>793</v>
      </c>
      <c r="D114" s="14"/>
      <c r="E114" s="208" t="s">
        <v>1468</v>
      </c>
    </row>
    <row r="115" spans="1:5" x14ac:dyDescent="0.25">
      <c r="A115" s="5" t="s">
        <v>1674</v>
      </c>
      <c r="B115" s="5" t="s">
        <v>1969</v>
      </c>
      <c r="C115" s="14" t="s">
        <v>594</v>
      </c>
      <c r="D115" s="14">
        <v>142299596</v>
      </c>
      <c r="E115" s="208" t="s">
        <v>1512</v>
      </c>
    </row>
    <row r="116" spans="1:5" x14ac:dyDescent="0.25">
      <c r="A116" s="5" t="s">
        <v>1675</v>
      </c>
      <c r="B116" s="5" t="s">
        <v>1970</v>
      </c>
      <c r="C116" s="23" t="s">
        <v>297</v>
      </c>
      <c r="D116" s="23" t="s">
        <v>298</v>
      </c>
      <c r="E116" s="204" t="s">
        <v>1284</v>
      </c>
    </row>
    <row r="117" spans="1:5" x14ac:dyDescent="0.25">
      <c r="A117" s="5" t="s">
        <v>1676</v>
      </c>
      <c r="B117" s="5" t="s">
        <v>1971</v>
      </c>
      <c r="C117" s="14" t="s">
        <v>404</v>
      </c>
      <c r="D117" s="14" t="s">
        <v>405</v>
      </c>
      <c r="E117" s="208" t="s">
        <v>1239</v>
      </c>
    </row>
    <row r="118" spans="1:5" x14ac:dyDescent="0.25">
      <c r="A118" s="5" t="s">
        <v>1677</v>
      </c>
      <c r="B118" s="5" t="s">
        <v>1972</v>
      </c>
      <c r="C118" s="14" t="s">
        <v>330</v>
      </c>
      <c r="D118" s="23" t="s">
        <v>331</v>
      </c>
      <c r="E118" s="204" t="s">
        <v>1462</v>
      </c>
    </row>
    <row r="119" spans="1:5" x14ac:dyDescent="0.25">
      <c r="A119" s="5" t="s">
        <v>1678</v>
      </c>
      <c r="B119" s="5" t="s">
        <v>1973</v>
      </c>
      <c r="C119" s="14" t="s">
        <v>411</v>
      </c>
      <c r="D119" s="14" t="s">
        <v>553</v>
      </c>
      <c r="E119" s="208" t="s">
        <v>1492</v>
      </c>
    </row>
    <row r="120" spans="1:5" x14ac:dyDescent="0.25">
      <c r="A120" s="5" t="s">
        <v>1679</v>
      </c>
      <c r="B120" s="5" t="s">
        <v>1974</v>
      </c>
      <c r="C120" s="14" t="s">
        <v>558</v>
      </c>
      <c r="D120" s="14" t="s">
        <v>559</v>
      </c>
      <c r="E120" s="208" t="s">
        <v>1459</v>
      </c>
    </row>
    <row r="121" spans="1:5" x14ac:dyDescent="0.25">
      <c r="A121" s="5" t="s">
        <v>1680</v>
      </c>
      <c r="B121" s="5" t="s">
        <v>1975</v>
      </c>
      <c r="C121" s="14" t="s">
        <v>304</v>
      </c>
      <c r="D121" s="14" t="s">
        <v>305</v>
      </c>
      <c r="E121" s="208" t="s">
        <v>1368</v>
      </c>
    </row>
    <row r="122" spans="1:5" x14ac:dyDescent="0.25">
      <c r="A122" s="143" t="s">
        <v>1681</v>
      </c>
      <c r="B122" s="143" t="s">
        <v>1976</v>
      </c>
      <c r="C122" s="23" t="s">
        <v>793</v>
      </c>
      <c r="D122" s="14"/>
      <c r="E122" s="208" t="s">
        <v>1552</v>
      </c>
    </row>
    <row r="123" spans="1:5" x14ac:dyDescent="0.25">
      <c r="A123" s="179" t="s">
        <v>1682</v>
      </c>
      <c r="B123" s="179" t="s">
        <v>1977</v>
      </c>
      <c r="C123" s="186" t="s">
        <v>466</v>
      </c>
      <c r="D123" s="187" t="s">
        <v>419</v>
      </c>
      <c r="E123" s="213" t="s">
        <v>1167</v>
      </c>
    </row>
    <row r="124" spans="1:5" x14ac:dyDescent="0.25">
      <c r="A124" s="177" t="s">
        <v>1683</v>
      </c>
      <c r="B124" s="177" t="s">
        <v>1978</v>
      </c>
      <c r="C124" s="178" t="s">
        <v>616</v>
      </c>
      <c r="D124" s="178" t="s">
        <v>617</v>
      </c>
      <c r="E124" s="211" t="s">
        <v>1116</v>
      </c>
    </row>
    <row r="125" spans="1:5" x14ac:dyDescent="0.25">
      <c r="A125" s="177" t="s">
        <v>1684</v>
      </c>
      <c r="B125" s="177" t="s">
        <v>1979</v>
      </c>
      <c r="C125" s="178" t="s">
        <v>536</v>
      </c>
      <c r="D125" s="178" t="s">
        <v>535</v>
      </c>
      <c r="E125" s="211" t="s">
        <v>1463</v>
      </c>
    </row>
    <row r="126" spans="1:5" x14ac:dyDescent="0.25">
      <c r="A126" s="5" t="s">
        <v>1685</v>
      </c>
      <c r="B126" s="5" t="s">
        <v>1980</v>
      </c>
      <c r="C126" s="14" t="s">
        <v>353</v>
      </c>
      <c r="D126" s="14" t="s">
        <v>547</v>
      </c>
      <c r="E126" s="208" t="s">
        <v>996</v>
      </c>
    </row>
    <row r="127" spans="1:5" x14ac:dyDescent="0.25">
      <c r="A127" s="5" t="s">
        <v>1686</v>
      </c>
      <c r="B127" s="5" t="s">
        <v>1981</v>
      </c>
      <c r="C127" s="14" t="s">
        <v>754</v>
      </c>
      <c r="D127" s="23">
        <v>361623433</v>
      </c>
      <c r="E127" s="204" t="s">
        <v>825</v>
      </c>
    </row>
    <row r="128" spans="1:5" x14ac:dyDescent="0.25">
      <c r="A128" s="177" t="s">
        <v>1687</v>
      </c>
      <c r="B128" s="177" t="s">
        <v>1982</v>
      </c>
      <c r="C128" s="178" t="s">
        <v>537</v>
      </c>
      <c r="D128" s="178" t="s">
        <v>538</v>
      </c>
      <c r="E128" s="211" t="s">
        <v>1092</v>
      </c>
    </row>
    <row r="129" spans="1:5" x14ac:dyDescent="0.25">
      <c r="A129" s="177" t="s">
        <v>1688</v>
      </c>
      <c r="B129" s="177" t="s">
        <v>1983</v>
      </c>
      <c r="C129" s="181" t="s">
        <v>793</v>
      </c>
      <c r="D129" s="178"/>
      <c r="E129" s="211" t="s">
        <v>1553</v>
      </c>
    </row>
    <row r="130" spans="1:5" x14ac:dyDescent="0.25">
      <c r="A130" s="177" t="s">
        <v>1689</v>
      </c>
      <c r="B130" s="177" t="s">
        <v>1984</v>
      </c>
      <c r="C130" s="178" t="s">
        <v>293</v>
      </c>
      <c r="D130" s="178" t="s">
        <v>294</v>
      </c>
      <c r="E130" s="211" t="s">
        <v>1516</v>
      </c>
    </row>
    <row r="131" spans="1:5" x14ac:dyDescent="0.25">
      <c r="A131" s="5" t="s">
        <v>1690</v>
      </c>
      <c r="B131" s="5" t="s">
        <v>1985</v>
      </c>
      <c r="C131" s="14" t="s">
        <v>318</v>
      </c>
      <c r="D131" s="14" t="s">
        <v>319</v>
      </c>
      <c r="E131" s="208" t="s">
        <v>1011</v>
      </c>
    </row>
    <row r="132" spans="1:5" x14ac:dyDescent="0.25">
      <c r="A132" s="5" t="s">
        <v>1691</v>
      </c>
      <c r="B132" s="5" t="s">
        <v>1986</v>
      </c>
      <c r="C132" s="6" t="s">
        <v>266</v>
      </c>
      <c r="D132" s="157" t="s">
        <v>267</v>
      </c>
      <c r="E132" s="253" t="s">
        <v>843</v>
      </c>
    </row>
    <row r="133" spans="1:5" x14ac:dyDescent="0.25">
      <c r="A133" s="5" t="s">
        <v>1692</v>
      </c>
      <c r="B133" s="5" t="s">
        <v>1987</v>
      </c>
      <c r="C133" s="14" t="s">
        <v>254</v>
      </c>
      <c r="D133" s="14" t="s">
        <v>255</v>
      </c>
      <c r="E133" s="208" t="s">
        <v>1353</v>
      </c>
    </row>
    <row r="134" spans="1:5" x14ac:dyDescent="0.25">
      <c r="A134" s="5" t="s">
        <v>1693</v>
      </c>
      <c r="B134" s="5" t="s">
        <v>1988</v>
      </c>
      <c r="C134" s="6" t="s">
        <v>324</v>
      </c>
      <c r="D134" s="6" t="s">
        <v>325</v>
      </c>
      <c r="E134" s="207" t="s">
        <v>1359</v>
      </c>
    </row>
    <row r="135" spans="1:5" x14ac:dyDescent="0.25">
      <c r="A135" s="139" t="s">
        <v>1694</v>
      </c>
      <c r="B135" s="139" t="s">
        <v>1989</v>
      </c>
      <c r="C135" s="167" t="s">
        <v>764</v>
      </c>
      <c r="D135" s="167" t="s">
        <v>765</v>
      </c>
      <c r="E135" s="231" t="s">
        <v>1486</v>
      </c>
    </row>
    <row r="136" spans="1:5" x14ac:dyDescent="0.25">
      <c r="A136" s="139" t="s">
        <v>1695</v>
      </c>
      <c r="B136" s="139" t="s">
        <v>1990</v>
      </c>
      <c r="C136" s="140" t="s">
        <v>282</v>
      </c>
      <c r="D136" s="140" t="s">
        <v>283</v>
      </c>
      <c r="E136" s="209" t="s">
        <v>1110</v>
      </c>
    </row>
    <row r="137" spans="1:5" x14ac:dyDescent="0.25">
      <c r="A137" s="139" t="s">
        <v>1696</v>
      </c>
      <c r="B137" s="139" t="s">
        <v>1991</v>
      </c>
      <c r="C137" s="140" t="s">
        <v>665</v>
      </c>
      <c r="D137" s="140" t="s">
        <v>666</v>
      </c>
      <c r="E137" s="209" t="s">
        <v>906</v>
      </c>
    </row>
    <row r="138" spans="1:5" x14ac:dyDescent="0.25">
      <c r="A138" s="177" t="s">
        <v>1697</v>
      </c>
      <c r="B138" s="177" t="s">
        <v>1992</v>
      </c>
      <c r="C138" s="178" t="s">
        <v>420</v>
      </c>
      <c r="D138" s="178" t="s">
        <v>421</v>
      </c>
      <c r="E138" s="211" t="s">
        <v>1518</v>
      </c>
    </row>
    <row r="139" spans="1:5" x14ac:dyDescent="0.25">
      <c r="A139" s="139" t="s">
        <v>1698</v>
      </c>
      <c r="B139" s="139" t="s">
        <v>1993</v>
      </c>
      <c r="C139" s="140" t="s">
        <v>762</v>
      </c>
      <c r="D139" s="140">
        <v>221241256</v>
      </c>
      <c r="E139" s="209" t="s">
        <v>930</v>
      </c>
    </row>
    <row r="140" spans="1:5" x14ac:dyDescent="0.25">
      <c r="A140" s="177" t="s">
        <v>1699</v>
      </c>
      <c r="B140" s="177" t="s">
        <v>1994</v>
      </c>
      <c r="C140" s="188" t="s">
        <v>793</v>
      </c>
      <c r="D140" s="180"/>
      <c r="E140" s="212" t="s">
        <v>1554</v>
      </c>
    </row>
    <row r="141" spans="1:5" x14ac:dyDescent="0.25">
      <c r="A141" s="5" t="s">
        <v>1700</v>
      </c>
      <c r="B141" s="5" t="s">
        <v>1995</v>
      </c>
      <c r="C141" s="14" t="s">
        <v>698</v>
      </c>
      <c r="D141" s="14" t="s">
        <v>697</v>
      </c>
      <c r="E141" s="208" t="s">
        <v>1146</v>
      </c>
    </row>
    <row r="142" spans="1:5" x14ac:dyDescent="0.25">
      <c r="A142" s="177" t="s">
        <v>1701</v>
      </c>
      <c r="B142" s="177" t="s">
        <v>1996</v>
      </c>
      <c r="C142" s="178" t="s">
        <v>602</v>
      </c>
      <c r="D142" s="178" t="s">
        <v>603</v>
      </c>
      <c r="E142" s="211" t="s">
        <v>1464</v>
      </c>
    </row>
    <row r="143" spans="1:5" x14ac:dyDescent="0.25">
      <c r="A143" s="139" t="s">
        <v>1702</v>
      </c>
      <c r="B143" s="139" t="s">
        <v>1997</v>
      </c>
      <c r="C143" s="166" t="s">
        <v>260</v>
      </c>
      <c r="D143" s="166" t="s">
        <v>261</v>
      </c>
      <c r="E143" s="229" t="s">
        <v>1086</v>
      </c>
    </row>
    <row r="144" spans="1:5" x14ac:dyDescent="0.25">
      <c r="A144" s="190" t="s">
        <v>1703</v>
      </c>
      <c r="B144" s="190" t="s">
        <v>1998</v>
      </c>
      <c r="C144" s="178" t="s">
        <v>484</v>
      </c>
      <c r="D144" s="178" t="s">
        <v>483</v>
      </c>
      <c r="E144" s="211" t="s">
        <v>957</v>
      </c>
    </row>
    <row r="145" spans="1:5" x14ac:dyDescent="0.25">
      <c r="A145" s="177" t="s">
        <v>1704</v>
      </c>
      <c r="B145" s="177" t="s">
        <v>1999</v>
      </c>
      <c r="C145" s="178" t="s">
        <v>695</v>
      </c>
      <c r="D145" s="178" t="s">
        <v>694</v>
      </c>
      <c r="E145" s="211" t="s">
        <v>972</v>
      </c>
    </row>
    <row r="146" spans="1:5" x14ac:dyDescent="0.25">
      <c r="A146" s="177" t="s">
        <v>1705</v>
      </c>
      <c r="B146" s="177" t="s">
        <v>2000</v>
      </c>
      <c r="C146" s="178" t="s">
        <v>244</v>
      </c>
      <c r="D146" s="178" t="s">
        <v>245</v>
      </c>
      <c r="E146" s="211" t="s">
        <v>1329</v>
      </c>
    </row>
    <row r="147" spans="1:5" x14ac:dyDescent="0.25">
      <c r="A147" s="177" t="s">
        <v>1706</v>
      </c>
      <c r="B147" s="177" t="s">
        <v>2001</v>
      </c>
      <c r="C147" s="178" t="s">
        <v>494</v>
      </c>
      <c r="D147" s="178" t="s">
        <v>493</v>
      </c>
      <c r="E147" s="211" t="s">
        <v>1332</v>
      </c>
    </row>
    <row r="148" spans="1:5" x14ac:dyDescent="0.25">
      <c r="A148" s="179" t="s">
        <v>1707</v>
      </c>
      <c r="B148" s="179" t="s">
        <v>2002</v>
      </c>
      <c r="C148" s="186" t="s">
        <v>281</v>
      </c>
      <c r="D148" s="186" t="s">
        <v>1427</v>
      </c>
      <c r="E148" s="254" t="s">
        <v>1293</v>
      </c>
    </row>
    <row r="149" spans="1:5" x14ac:dyDescent="0.25">
      <c r="A149" s="177" t="s">
        <v>1708</v>
      </c>
      <c r="B149" s="177" t="s">
        <v>2003</v>
      </c>
      <c r="C149" s="178" t="s">
        <v>657</v>
      </c>
      <c r="D149" s="178" t="s">
        <v>658</v>
      </c>
      <c r="E149" s="211" t="s">
        <v>1347</v>
      </c>
    </row>
    <row r="150" spans="1:5" x14ac:dyDescent="0.25">
      <c r="A150" s="177" t="s">
        <v>1709</v>
      </c>
      <c r="B150" s="177" t="s">
        <v>2004</v>
      </c>
      <c r="C150" s="181" t="s">
        <v>332</v>
      </c>
      <c r="D150" s="178" t="s">
        <v>333</v>
      </c>
      <c r="E150" s="211" t="s">
        <v>1089</v>
      </c>
    </row>
    <row r="151" spans="1:5" x14ac:dyDescent="0.25">
      <c r="A151" s="177" t="s">
        <v>1710</v>
      </c>
      <c r="B151" s="177" t="s">
        <v>2005</v>
      </c>
      <c r="C151" s="180" t="s">
        <v>374</v>
      </c>
      <c r="D151" s="180" t="s">
        <v>375</v>
      </c>
      <c r="E151" s="212" t="s">
        <v>870</v>
      </c>
    </row>
    <row r="152" spans="1:5" x14ac:dyDescent="0.25">
      <c r="A152" s="177" t="s">
        <v>1711</v>
      </c>
      <c r="B152" s="177" t="s">
        <v>2006</v>
      </c>
      <c r="C152" s="178" t="s">
        <v>259</v>
      </c>
      <c r="D152" s="181" t="s">
        <v>677</v>
      </c>
      <c r="E152" s="214" t="s">
        <v>1245</v>
      </c>
    </row>
    <row r="153" spans="1:5" x14ac:dyDescent="0.25">
      <c r="A153" s="5" t="s">
        <v>1712</v>
      </c>
      <c r="B153" s="5" t="s">
        <v>2007</v>
      </c>
      <c r="C153" s="14" t="s">
        <v>438</v>
      </c>
      <c r="D153" s="14" t="s">
        <v>439</v>
      </c>
      <c r="E153" s="208" t="s">
        <v>1278</v>
      </c>
    </row>
    <row r="154" spans="1:5" x14ac:dyDescent="0.25">
      <c r="A154" s="5" t="s">
        <v>1713</v>
      </c>
      <c r="B154" s="5" t="s">
        <v>2008</v>
      </c>
      <c r="C154" s="14" t="s">
        <v>498</v>
      </c>
      <c r="D154" s="14" t="s">
        <v>499</v>
      </c>
      <c r="E154" s="208" t="s">
        <v>1475</v>
      </c>
    </row>
    <row r="155" spans="1:5" x14ac:dyDescent="0.25">
      <c r="A155" s="5" t="s">
        <v>1714</v>
      </c>
      <c r="B155" s="5" t="s">
        <v>2009</v>
      </c>
      <c r="C155" s="14" t="s">
        <v>410</v>
      </c>
      <c r="D155" s="14" t="s">
        <v>552</v>
      </c>
      <c r="E155" s="208" t="s">
        <v>1485</v>
      </c>
    </row>
    <row r="156" spans="1:5" x14ac:dyDescent="0.25">
      <c r="A156" s="139" t="s">
        <v>1715</v>
      </c>
      <c r="B156" s="139" t="s">
        <v>2010</v>
      </c>
      <c r="C156" s="167" t="s">
        <v>423</v>
      </c>
      <c r="D156" s="167" t="s">
        <v>424</v>
      </c>
      <c r="E156" s="231" t="s">
        <v>1555</v>
      </c>
    </row>
    <row r="157" spans="1:5" x14ac:dyDescent="0.25">
      <c r="A157" s="5" t="s">
        <v>1716</v>
      </c>
      <c r="B157" s="5" t="s">
        <v>2011</v>
      </c>
      <c r="C157" s="6" t="s">
        <v>713</v>
      </c>
      <c r="D157" s="6" t="s">
        <v>714</v>
      </c>
      <c r="E157" s="207" t="s">
        <v>1460</v>
      </c>
    </row>
    <row r="158" spans="1:5" x14ac:dyDescent="0.25">
      <c r="A158" s="168" t="s">
        <v>1717</v>
      </c>
      <c r="B158" s="168" t="s">
        <v>2012</v>
      </c>
      <c r="C158" s="169" t="s">
        <v>306</v>
      </c>
      <c r="D158" s="169" t="s">
        <v>307</v>
      </c>
      <c r="E158" s="255" t="s">
        <v>1476</v>
      </c>
    </row>
    <row r="159" spans="1:5" x14ac:dyDescent="0.25">
      <c r="A159" s="139" t="s">
        <v>1718</v>
      </c>
      <c r="B159" s="139" t="s">
        <v>2013</v>
      </c>
      <c r="C159" s="140" t="s">
        <v>241</v>
      </c>
      <c r="D159" s="140" t="s">
        <v>242</v>
      </c>
      <c r="E159" s="209" t="s">
        <v>1508</v>
      </c>
    </row>
    <row r="160" spans="1:5" x14ac:dyDescent="0.25">
      <c r="A160" s="5" t="s">
        <v>1719</v>
      </c>
      <c r="B160" s="5" t="s">
        <v>2014</v>
      </c>
      <c r="C160" s="6" t="s">
        <v>655</v>
      </c>
      <c r="D160" s="6" t="s">
        <v>656</v>
      </c>
      <c r="E160" s="207" t="s">
        <v>1371</v>
      </c>
    </row>
    <row r="161" spans="1:5" x14ac:dyDescent="0.25">
      <c r="A161" s="143" t="s">
        <v>1720</v>
      </c>
      <c r="B161" s="143" t="s">
        <v>2015</v>
      </c>
      <c r="C161" s="14" t="s">
        <v>243</v>
      </c>
      <c r="D161" s="14" t="s">
        <v>546</v>
      </c>
      <c r="E161" s="208" t="s">
        <v>1056</v>
      </c>
    </row>
    <row r="162" spans="1:5" x14ac:dyDescent="0.25">
      <c r="A162" s="5" t="s">
        <v>454</v>
      </c>
      <c r="B162" s="5" t="s">
        <v>2016</v>
      </c>
      <c r="C162" s="23" t="s">
        <v>278</v>
      </c>
      <c r="D162" s="23" t="s">
        <v>279</v>
      </c>
      <c r="E162" s="204" t="s">
        <v>1350</v>
      </c>
    </row>
    <row r="163" spans="1:5" x14ac:dyDescent="0.25">
      <c r="A163" s="143" t="s">
        <v>1721</v>
      </c>
      <c r="B163" s="143" t="s">
        <v>2017</v>
      </c>
      <c r="C163" s="14" t="s">
        <v>366</v>
      </c>
      <c r="D163" s="14" t="s">
        <v>367</v>
      </c>
      <c r="E163" s="208" t="s">
        <v>1047</v>
      </c>
    </row>
    <row r="164" spans="1:5" x14ac:dyDescent="0.25">
      <c r="A164" s="5" t="s">
        <v>1722</v>
      </c>
      <c r="B164" s="5" t="s">
        <v>2018</v>
      </c>
      <c r="C164" s="23" t="s">
        <v>312</v>
      </c>
      <c r="D164" s="23" t="s">
        <v>313</v>
      </c>
      <c r="E164" s="204" t="s">
        <v>1005</v>
      </c>
    </row>
    <row r="165" spans="1:5" x14ac:dyDescent="0.25">
      <c r="A165" s="279" t="s">
        <v>1723</v>
      </c>
      <c r="B165" s="279" t="s">
        <v>2019</v>
      </c>
      <c r="C165" s="191" t="s">
        <v>793</v>
      </c>
      <c r="D165" s="180"/>
      <c r="E165" s="212" t="s">
        <v>1556</v>
      </c>
    </row>
    <row r="166" spans="1:5" x14ac:dyDescent="0.25">
      <c r="A166" s="5" t="s">
        <v>1724</v>
      </c>
      <c r="B166" s="5" t="s">
        <v>2020</v>
      </c>
      <c r="C166" s="23" t="s">
        <v>793</v>
      </c>
      <c r="D166" s="14"/>
      <c r="E166" s="208" t="s">
        <v>1453</v>
      </c>
    </row>
    <row r="167" spans="1:5" x14ac:dyDescent="0.25">
      <c r="A167" s="5" t="s">
        <v>1725</v>
      </c>
      <c r="B167" s="5" t="s">
        <v>2021</v>
      </c>
      <c r="C167" s="14" t="s">
        <v>370</v>
      </c>
      <c r="D167" s="14" t="s">
        <v>371</v>
      </c>
      <c r="E167" s="208" t="s">
        <v>984</v>
      </c>
    </row>
    <row r="168" spans="1:5" x14ac:dyDescent="0.25">
      <c r="A168" s="177" t="s">
        <v>1726</v>
      </c>
      <c r="B168" s="177" t="s">
        <v>2022</v>
      </c>
      <c r="C168" s="180" t="s">
        <v>394</v>
      </c>
      <c r="D168" s="180" t="s">
        <v>395</v>
      </c>
      <c r="E168" s="212" t="s">
        <v>1488</v>
      </c>
    </row>
    <row r="169" spans="1:5" x14ac:dyDescent="0.25">
      <c r="A169" s="5" t="s">
        <v>1727</v>
      </c>
      <c r="B169" s="5" t="s">
        <v>2023</v>
      </c>
      <c r="C169" s="14" t="s">
        <v>256</v>
      </c>
      <c r="D169" s="14" t="s">
        <v>257</v>
      </c>
      <c r="E169" s="208" t="s">
        <v>921</v>
      </c>
    </row>
    <row r="170" spans="1:5" x14ac:dyDescent="0.25">
      <c r="A170" s="5" t="s">
        <v>1728</v>
      </c>
      <c r="B170" s="5" t="s">
        <v>2024</v>
      </c>
      <c r="C170" s="6" t="s">
        <v>703</v>
      </c>
      <c r="D170" s="6" t="s">
        <v>702</v>
      </c>
      <c r="E170" s="207" t="s">
        <v>912</v>
      </c>
    </row>
    <row r="171" spans="1:5" x14ac:dyDescent="0.25">
      <c r="A171" s="12" t="s">
        <v>1729</v>
      </c>
      <c r="B171" s="12" t="s">
        <v>2025</v>
      </c>
      <c r="C171" s="148" t="s">
        <v>328</v>
      </c>
      <c r="D171" s="148" t="s">
        <v>329</v>
      </c>
      <c r="E171" s="256" t="s">
        <v>1065</v>
      </c>
    </row>
    <row r="172" spans="1:5" x14ac:dyDescent="0.25">
      <c r="A172" s="177" t="s">
        <v>1730</v>
      </c>
      <c r="B172" s="177" t="s">
        <v>2026</v>
      </c>
      <c r="C172" s="178" t="s">
        <v>719</v>
      </c>
      <c r="D172" s="178">
        <v>385556636</v>
      </c>
      <c r="E172" s="211" t="s">
        <v>1020</v>
      </c>
    </row>
    <row r="173" spans="1:5" x14ac:dyDescent="0.25">
      <c r="A173" s="177" t="s">
        <v>1731</v>
      </c>
      <c r="B173" s="177" t="s">
        <v>2027</v>
      </c>
      <c r="C173" s="181" t="s">
        <v>793</v>
      </c>
      <c r="D173" s="178"/>
      <c r="E173" s="211" t="s">
        <v>1557</v>
      </c>
    </row>
    <row r="174" spans="1:5" x14ac:dyDescent="0.25">
      <c r="A174" s="139" t="s">
        <v>1732</v>
      </c>
      <c r="B174" s="139" t="s">
        <v>2028</v>
      </c>
      <c r="C174" s="167" t="s">
        <v>766</v>
      </c>
      <c r="D174" s="167">
        <v>194413407</v>
      </c>
      <c r="E174" s="231" t="s">
        <v>936</v>
      </c>
    </row>
    <row r="175" spans="1:5" x14ac:dyDescent="0.25">
      <c r="A175" s="177" t="s">
        <v>1733</v>
      </c>
      <c r="B175" s="177" t="s">
        <v>2029</v>
      </c>
      <c r="C175" s="178" t="s">
        <v>587</v>
      </c>
      <c r="D175" s="178" t="s">
        <v>586</v>
      </c>
      <c r="E175" s="211" t="s">
        <v>1558</v>
      </c>
    </row>
    <row r="176" spans="1:5" x14ac:dyDescent="0.25">
      <c r="A176" s="5" t="s">
        <v>1734</v>
      </c>
      <c r="B176" s="5" t="s">
        <v>2030</v>
      </c>
      <c r="C176" s="23" t="s">
        <v>525</v>
      </c>
      <c r="D176" s="23" t="s">
        <v>673</v>
      </c>
      <c r="E176" s="204" t="s">
        <v>1326</v>
      </c>
    </row>
    <row r="177" spans="1:5" x14ac:dyDescent="0.25">
      <c r="A177" s="5" t="s">
        <v>1735</v>
      </c>
      <c r="B177" s="5" t="s">
        <v>2031</v>
      </c>
      <c r="C177" s="14" t="s">
        <v>701</v>
      </c>
      <c r="D177" s="14" t="s">
        <v>700</v>
      </c>
      <c r="E177" s="208" t="s">
        <v>1029</v>
      </c>
    </row>
    <row r="178" spans="1:5" x14ac:dyDescent="0.25">
      <c r="A178" s="177" t="s">
        <v>1736</v>
      </c>
      <c r="B178" s="177" t="s">
        <v>2032</v>
      </c>
      <c r="C178" s="181" t="s">
        <v>472</v>
      </c>
      <c r="D178" s="178" t="s">
        <v>473</v>
      </c>
      <c r="E178" s="211" t="s">
        <v>879</v>
      </c>
    </row>
    <row r="179" spans="1:5" x14ac:dyDescent="0.25">
      <c r="A179" s="177" t="s">
        <v>1737</v>
      </c>
      <c r="B179" s="177" t="s">
        <v>2033</v>
      </c>
      <c r="C179" s="178" t="s">
        <v>299</v>
      </c>
      <c r="D179" s="178" t="s">
        <v>300</v>
      </c>
      <c r="E179" s="211" t="s">
        <v>1296</v>
      </c>
    </row>
    <row r="180" spans="1:5" x14ac:dyDescent="0.25">
      <c r="A180" s="5" t="s">
        <v>1738</v>
      </c>
      <c r="B180" s="5" t="s">
        <v>2034</v>
      </c>
      <c r="C180" s="14" t="s">
        <v>303</v>
      </c>
      <c r="D180" s="14" t="s">
        <v>550</v>
      </c>
      <c r="E180" s="208" t="s">
        <v>1053</v>
      </c>
    </row>
    <row r="181" spans="1:5" x14ac:dyDescent="0.25">
      <c r="A181" s="139" t="s">
        <v>1739</v>
      </c>
      <c r="B181" s="139" t="s">
        <v>2035</v>
      </c>
      <c r="C181" s="140" t="s">
        <v>276</v>
      </c>
      <c r="D181" s="166" t="s">
        <v>277</v>
      </c>
      <c r="E181" s="229" t="s">
        <v>1493</v>
      </c>
    </row>
    <row r="182" spans="1:5" x14ac:dyDescent="0.25">
      <c r="A182" s="143" t="s">
        <v>1740</v>
      </c>
      <c r="B182" s="143" t="s">
        <v>2036</v>
      </c>
      <c r="C182" s="14" t="s">
        <v>622</v>
      </c>
      <c r="D182" s="14">
        <v>290977728</v>
      </c>
      <c r="E182" s="208" t="s">
        <v>1446</v>
      </c>
    </row>
    <row r="183" spans="1:5" x14ac:dyDescent="0.25">
      <c r="A183" s="5" t="s">
        <v>1741</v>
      </c>
      <c r="B183" s="5" t="s">
        <v>2037</v>
      </c>
      <c r="C183" s="14" t="s">
        <v>480</v>
      </c>
      <c r="D183" s="14" t="s">
        <v>481</v>
      </c>
      <c r="E183" s="276" t="s">
        <v>1017</v>
      </c>
    </row>
    <row r="184" spans="1:5" x14ac:dyDescent="0.25">
      <c r="A184" s="5" t="s">
        <v>1742</v>
      </c>
      <c r="B184" s="5" t="s">
        <v>2038</v>
      </c>
      <c r="C184" s="23" t="s">
        <v>460</v>
      </c>
      <c r="D184" s="23" t="s">
        <v>461</v>
      </c>
      <c r="E184" s="204" t="s">
        <v>1305</v>
      </c>
    </row>
    <row r="185" spans="1:5" x14ac:dyDescent="0.25">
      <c r="A185" s="5" t="s">
        <v>1743</v>
      </c>
      <c r="B185" s="5" t="s">
        <v>2039</v>
      </c>
      <c r="C185" s="14" t="s">
        <v>322</v>
      </c>
      <c r="D185" s="23" t="s">
        <v>323</v>
      </c>
      <c r="E185" s="204" t="s">
        <v>1497</v>
      </c>
    </row>
    <row r="186" spans="1:5" x14ac:dyDescent="0.25">
      <c r="A186" s="5" t="s">
        <v>1744</v>
      </c>
      <c r="B186" s="5" t="s">
        <v>2040</v>
      </c>
      <c r="C186" s="14" t="s">
        <v>346</v>
      </c>
      <c r="D186" s="23" t="s">
        <v>347</v>
      </c>
      <c r="E186" s="204" t="s">
        <v>1510</v>
      </c>
    </row>
    <row r="187" spans="1:5" x14ac:dyDescent="0.25">
      <c r="A187" s="158" t="s">
        <v>1745</v>
      </c>
      <c r="B187" s="158" t="s">
        <v>2041</v>
      </c>
      <c r="C187" s="14" t="s">
        <v>350</v>
      </c>
      <c r="D187" s="14" t="s">
        <v>548</v>
      </c>
      <c r="E187" s="208" t="s">
        <v>1233</v>
      </c>
    </row>
    <row r="188" spans="1:5" x14ac:dyDescent="0.25">
      <c r="A188" s="143" t="s">
        <v>1746</v>
      </c>
      <c r="B188" s="143" t="s">
        <v>2042</v>
      </c>
      <c r="C188" s="14" t="s">
        <v>521</v>
      </c>
      <c r="D188" s="14" t="s">
        <v>522</v>
      </c>
      <c r="E188" s="208" t="s">
        <v>1517</v>
      </c>
    </row>
    <row r="189" spans="1:5" x14ac:dyDescent="0.25">
      <c r="A189" s="143" t="s">
        <v>1747</v>
      </c>
      <c r="B189" s="143" t="s">
        <v>2043</v>
      </c>
      <c r="C189" s="6" t="s">
        <v>581</v>
      </c>
      <c r="D189" s="6">
        <v>221175304</v>
      </c>
      <c r="E189" s="207" t="s">
        <v>1473</v>
      </c>
    </row>
    <row r="190" spans="1:5" x14ac:dyDescent="0.25">
      <c r="A190" s="5" t="s">
        <v>1748</v>
      </c>
      <c r="B190" s="5" t="s">
        <v>2044</v>
      </c>
      <c r="C190" s="6" t="s">
        <v>788</v>
      </c>
      <c r="D190" s="6">
        <v>151448025</v>
      </c>
      <c r="E190" s="207" t="s">
        <v>1176</v>
      </c>
    </row>
    <row r="191" spans="1:5" x14ac:dyDescent="0.25">
      <c r="A191" s="5" t="s">
        <v>1749</v>
      </c>
      <c r="B191" s="5" t="s">
        <v>2045</v>
      </c>
      <c r="C191" s="14" t="s">
        <v>570</v>
      </c>
      <c r="D191" s="14" t="s">
        <v>571</v>
      </c>
      <c r="E191" s="208" t="s">
        <v>1451</v>
      </c>
    </row>
    <row r="192" spans="1:5" x14ac:dyDescent="0.25">
      <c r="A192" s="5" t="s">
        <v>1750</v>
      </c>
      <c r="B192" s="5" t="s">
        <v>2046</v>
      </c>
      <c r="C192" s="14" t="s">
        <v>308</v>
      </c>
      <c r="D192" s="14" t="s">
        <v>309</v>
      </c>
      <c r="E192" s="208" t="s">
        <v>876</v>
      </c>
    </row>
    <row r="193" spans="1:5" x14ac:dyDescent="0.25">
      <c r="A193" s="143" t="s">
        <v>1751</v>
      </c>
      <c r="B193" s="143" t="s">
        <v>2047</v>
      </c>
      <c r="C193" s="14" t="s">
        <v>385</v>
      </c>
      <c r="D193" s="14" t="s">
        <v>386</v>
      </c>
      <c r="E193" s="208" t="s">
        <v>1480</v>
      </c>
    </row>
    <row r="194" spans="1:5" x14ac:dyDescent="0.25">
      <c r="A194" s="177" t="s">
        <v>1752</v>
      </c>
      <c r="B194" s="177" t="s">
        <v>2048</v>
      </c>
      <c r="C194" s="178" t="s">
        <v>248</v>
      </c>
      <c r="D194" s="178" t="s">
        <v>549</v>
      </c>
      <c r="E194" s="211" t="s">
        <v>1281</v>
      </c>
    </row>
    <row r="195" spans="1:5" x14ac:dyDescent="0.25">
      <c r="A195" s="5" t="s">
        <v>1753</v>
      </c>
      <c r="B195" s="5" t="s">
        <v>2049</v>
      </c>
      <c r="C195" s="14" t="s">
        <v>443</v>
      </c>
      <c r="D195" s="14" t="s">
        <v>442</v>
      </c>
      <c r="E195" s="208" t="s">
        <v>1071</v>
      </c>
    </row>
    <row r="196" spans="1:5" x14ac:dyDescent="0.25">
      <c r="A196" s="5" t="s">
        <v>1754</v>
      </c>
      <c r="B196" s="5" t="s">
        <v>2050</v>
      </c>
      <c r="C196" s="14" t="s">
        <v>592</v>
      </c>
      <c r="D196" s="14" t="s">
        <v>593</v>
      </c>
      <c r="E196" s="208" t="s">
        <v>1501</v>
      </c>
    </row>
    <row r="197" spans="1:5" x14ac:dyDescent="0.25">
      <c r="A197" s="5" t="s">
        <v>1755</v>
      </c>
      <c r="B197" s="5" t="s">
        <v>2051</v>
      </c>
      <c r="C197" s="14" t="s">
        <v>389</v>
      </c>
      <c r="D197" s="14" t="s">
        <v>675</v>
      </c>
      <c r="E197" s="208" t="s">
        <v>1505</v>
      </c>
    </row>
    <row r="198" spans="1:5" x14ac:dyDescent="0.25">
      <c r="A198" s="5" t="s">
        <v>1756</v>
      </c>
      <c r="B198" s="5" t="s">
        <v>2052</v>
      </c>
      <c r="C198" s="14" t="s">
        <v>250</v>
      </c>
      <c r="D198" s="14" t="s">
        <v>251</v>
      </c>
      <c r="E198" s="208" t="s">
        <v>1149</v>
      </c>
    </row>
    <row r="199" spans="1:5" x14ac:dyDescent="0.25">
      <c r="A199" s="5" t="s">
        <v>1757</v>
      </c>
      <c r="B199" s="5" t="s">
        <v>2053</v>
      </c>
      <c r="C199" s="14" t="s">
        <v>667</v>
      </c>
      <c r="D199" s="14" t="s">
        <v>668</v>
      </c>
      <c r="E199" s="208" t="s">
        <v>900</v>
      </c>
    </row>
    <row r="200" spans="1:5" x14ac:dyDescent="0.25">
      <c r="A200" s="5" t="s">
        <v>1758</v>
      </c>
      <c r="B200" s="5" t="s">
        <v>2054</v>
      </c>
      <c r="C200" s="23" t="s">
        <v>496</v>
      </c>
      <c r="D200" s="14" t="s">
        <v>497</v>
      </c>
      <c r="E200" s="208" t="s">
        <v>1308</v>
      </c>
    </row>
    <row r="201" spans="1:5" x14ac:dyDescent="0.25">
      <c r="A201" s="5" t="s">
        <v>1759</v>
      </c>
      <c r="B201" s="5" t="s">
        <v>2055</v>
      </c>
      <c r="C201" s="23" t="s">
        <v>793</v>
      </c>
      <c r="D201" s="14"/>
      <c r="E201" s="208" t="s">
        <v>1559</v>
      </c>
    </row>
    <row r="202" spans="1:5" x14ac:dyDescent="0.25">
      <c r="A202" s="5" t="s">
        <v>1760</v>
      </c>
      <c r="B202" s="5" t="s">
        <v>2056</v>
      </c>
      <c r="C202" s="14" t="s">
        <v>708</v>
      </c>
      <c r="D202" s="14" t="s">
        <v>707</v>
      </c>
      <c r="E202" s="208" t="s">
        <v>846</v>
      </c>
    </row>
    <row r="203" spans="1:5" x14ac:dyDescent="0.25">
      <c r="A203" s="170" t="s">
        <v>1761</v>
      </c>
      <c r="B203" s="170" t="s">
        <v>2057</v>
      </c>
      <c r="C203" s="140" t="s">
        <v>767</v>
      </c>
      <c r="D203" s="140">
        <v>18202774</v>
      </c>
      <c r="E203" s="209" t="s">
        <v>1098</v>
      </c>
    </row>
    <row r="204" spans="1:5" x14ac:dyDescent="0.25">
      <c r="A204" s="5" t="s">
        <v>1762</v>
      </c>
      <c r="B204" s="5" t="s">
        <v>2058</v>
      </c>
      <c r="C204" s="6" t="s">
        <v>358</v>
      </c>
      <c r="D204" s="6" t="s">
        <v>359</v>
      </c>
      <c r="E204" s="207" t="s">
        <v>1509</v>
      </c>
    </row>
    <row r="205" spans="1:5" x14ac:dyDescent="0.25">
      <c r="A205" s="177" t="s">
        <v>1763</v>
      </c>
      <c r="B205" s="177" t="s">
        <v>2059</v>
      </c>
      <c r="C205" s="180" t="s">
        <v>449</v>
      </c>
      <c r="D205" s="180" t="s">
        <v>450</v>
      </c>
      <c r="E205" s="212" t="s">
        <v>951</v>
      </c>
    </row>
    <row r="206" spans="1:5" x14ac:dyDescent="0.25">
      <c r="A206" s="5" t="s">
        <v>1764</v>
      </c>
      <c r="B206" s="5" t="s">
        <v>2060</v>
      </c>
      <c r="C206" s="14" t="s">
        <v>648</v>
      </c>
      <c r="D206" s="14">
        <v>211689481</v>
      </c>
      <c r="E206" s="208" t="s">
        <v>1050</v>
      </c>
    </row>
    <row r="207" spans="1:5" x14ac:dyDescent="0.25">
      <c r="A207" s="172" t="s">
        <v>1765</v>
      </c>
      <c r="B207" s="172" t="s">
        <v>2061</v>
      </c>
      <c r="C207" s="173" t="s">
        <v>773</v>
      </c>
      <c r="D207" s="173" t="s">
        <v>771</v>
      </c>
      <c r="E207" s="257" t="s">
        <v>1080</v>
      </c>
    </row>
    <row r="208" spans="1:5" x14ac:dyDescent="0.25">
      <c r="A208" s="179" t="s">
        <v>1766</v>
      </c>
      <c r="B208" s="179" t="s">
        <v>2062</v>
      </c>
      <c r="C208" s="186" t="s">
        <v>464</v>
      </c>
      <c r="D208" s="180" t="s">
        <v>465</v>
      </c>
      <c r="E208" s="212" t="s">
        <v>1254</v>
      </c>
    </row>
    <row r="209" spans="1:5" x14ac:dyDescent="0.25">
      <c r="A209" s="5" t="s">
        <v>1767</v>
      </c>
      <c r="B209" s="5" t="s">
        <v>2063</v>
      </c>
      <c r="C209" s="14" t="s">
        <v>503</v>
      </c>
      <c r="D209" s="14">
        <v>225422593</v>
      </c>
      <c r="E209" s="208" t="s">
        <v>1507</v>
      </c>
    </row>
    <row r="210" spans="1:5" x14ac:dyDescent="0.25">
      <c r="A210" s="150" t="s">
        <v>1768</v>
      </c>
      <c r="B210" s="150" t="s">
        <v>2064</v>
      </c>
      <c r="C210" s="14" t="s">
        <v>647</v>
      </c>
      <c r="D210" s="14">
        <v>162977441</v>
      </c>
      <c r="E210" s="208" t="s">
        <v>1191</v>
      </c>
    </row>
    <row r="211" spans="1:5" x14ac:dyDescent="0.25">
      <c r="A211" s="5" t="s">
        <v>1769</v>
      </c>
      <c r="B211" s="5" t="s">
        <v>2065</v>
      </c>
      <c r="C211" s="14" t="s">
        <v>342</v>
      </c>
      <c r="D211" s="14" t="s">
        <v>343</v>
      </c>
      <c r="E211" s="208" t="s">
        <v>1491</v>
      </c>
    </row>
    <row r="212" spans="1:5" x14ac:dyDescent="0.25">
      <c r="A212" s="5" t="s">
        <v>1770</v>
      </c>
      <c r="B212" s="5" t="s">
        <v>2066</v>
      </c>
      <c r="C212" s="14" t="s">
        <v>412</v>
      </c>
      <c r="D212" s="14" t="s">
        <v>413</v>
      </c>
      <c r="E212" s="208" t="s">
        <v>1269</v>
      </c>
    </row>
    <row r="213" spans="1:5" x14ac:dyDescent="0.25">
      <c r="A213" s="143" t="s">
        <v>1771</v>
      </c>
      <c r="B213" s="143" t="s">
        <v>2067</v>
      </c>
      <c r="C213" s="14" t="s">
        <v>738</v>
      </c>
      <c r="D213" s="14" t="s">
        <v>739</v>
      </c>
      <c r="E213" s="208" t="s">
        <v>858</v>
      </c>
    </row>
    <row r="214" spans="1:5" x14ac:dyDescent="0.25">
      <c r="A214" s="143" t="s">
        <v>1772</v>
      </c>
      <c r="B214" s="143" t="s">
        <v>2068</v>
      </c>
      <c r="C214" s="14" t="s">
        <v>272</v>
      </c>
      <c r="D214" s="14" t="s">
        <v>273</v>
      </c>
      <c r="E214" s="208" t="s">
        <v>822</v>
      </c>
    </row>
    <row r="215" spans="1:5" x14ac:dyDescent="0.25">
      <c r="A215" s="190" t="s">
        <v>1773</v>
      </c>
      <c r="B215" s="190" t="s">
        <v>2069</v>
      </c>
      <c r="C215" s="178" t="s">
        <v>735</v>
      </c>
      <c r="D215" s="178" t="s">
        <v>736</v>
      </c>
      <c r="E215" s="211" t="s">
        <v>1489</v>
      </c>
    </row>
    <row r="216" spans="1:5" x14ac:dyDescent="0.25">
      <c r="A216" s="143" t="s">
        <v>1774</v>
      </c>
      <c r="B216" s="143" t="s">
        <v>2070</v>
      </c>
      <c r="C216" s="176" t="s">
        <v>400</v>
      </c>
      <c r="D216" s="176" t="s">
        <v>401</v>
      </c>
      <c r="E216" s="253" t="s">
        <v>1314</v>
      </c>
    </row>
    <row r="217" spans="1:5" x14ac:dyDescent="0.25">
      <c r="A217" s="139" t="s">
        <v>1775</v>
      </c>
      <c r="B217" s="139" t="s">
        <v>2071</v>
      </c>
      <c r="C217" s="140" t="s">
        <v>351</v>
      </c>
      <c r="D217" s="166" t="s">
        <v>352</v>
      </c>
      <c r="E217" s="229" t="s">
        <v>1077</v>
      </c>
    </row>
    <row r="218" spans="1:5" x14ac:dyDescent="0.25">
      <c r="A218" s="5" t="s">
        <v>1776</v>
      </c>
      <c r="B218" s="5" t="s">
        <v>2072</v>
      </c>
      <c r="C218" s="14" t="s">
        <v>381</v>
      </c>
      <c r="D218" s="14" t="s">
        <v>382</v>
      </c>
      <c r="E218" s="208" t="s">
        <v>927</v>
      </c>
    </row>
    <row r="219" spans="1:5" x14ac:dyDescent="0.25">
      <c r="A219" s="5" t="s">
        <v>1777</v>
      </c>
      <c r="B219" s="5" t="s">
        <v>2073</v>
      </c>
      <c r="C219" s="14" t="s">
        <v>772</v>
      </c>
      <c r="D219" s="23" t="s">
        <v>768</v>
      </c>
      <c r="E219" s="204" t="s">
        <v>1465</v>
      </c>
    </row>
    <row r="220" spans="1:5" x14ac:dyDescent="0.25">
      <c r="A220" s="143" t="s">
        <v>1778</v>
      </c>
      <c r="B220" s="143" t="s">
        <v>2074</v>
      </c>
      <c r="C220" s="14" t="s">
        <v>262</v>
      </c>
      <c r="D220" s="14" t="s">
        <v>263</v>
      </c>
      <c r="E220" s="208" t="s">
        <v>840</v>
      </c>
    </row>
    <row r="221" spans="1:5" x14ac:dyDescent="0.25">
      <c r="A221" s="143" t="s">
        <v>1779</v>
      </c>
      <c r="B221" s="143" t="s">
        <v>2075</v>
      </c>
      <c r="C221" s="6" t="s">
        <v>408</v>
      </c>
      <c r="D221" s="6" t="s">
        <v>409</v>
      </c>
      <c r="E221" s="207" t="s">
        <v>1479</v>
      </c>
    </row>
    <row r="222" spans="1:5" x14ac:dyDescent="0.25">
      <c r="A222" s="5" t="s">
        <v>1780</v>
      </c>
      <c r="B222" s="5" t="s">
        <v>2076</v>
      </c>
      <c r="C222" s="14" t="s">
        <v>740</v>
      </c>
      <c r="D222" s="14">
        <v>182421198</v>
      </c>
      <c r="E222" s="208" t="s">
        <v>1083</v>
      </c>
    </row>
    <row r="223" spans="1:5" x14ac:dyDescent="0.25">
      <c r="A223" s="5" t="s">
        <v>1781</v>
      </c>
      <c r="B223" s="5" t="s">
        <v>2077</v>
      </c>
      <c r="C223" s="14" t="s">
        <v>340</v>
      </c>
      <c r="D223" s="14" t="s">
        <v>341</v>
      </c>
      <c r="E223" s="208" t="s">
        <v>1044</v>
      </c>
    </row>
    <row r="224" spans="1:5" x14ac:dyDescent="0.25">
      <c r="A224" s="5" t="s">
        <v>1782</v>
      </c>
      <c r="B224" s="5" t="s">
        <v>2078</v>
      </c>
      <c r="C224" s="14" t="s">
        <v>567</v>
      </c>
      <c r="D224" s="14" t="s">
        <v>566</v>
      </c>
      <c r="E224" s="208" t="s">
        <v>1257</v>
      </c>
    </row>
    <row r="225" spans="1:5" x14ac:dyDescent="0.25">
      <c r="A225" s="143" t="s">
        <v>1783</v>
      </c>
      <c r="B225" s="143" t="s">
        <v>2079</v>
      </c>
      <c r="C225" s="14" t="s">
        <v>430</v>
      </c>
      <c r="D225" s="14" t="s">
        <v>429</v>
      </c>
      <c r="E225" s="208" t="s">
        <v>882</v>
      </c>
    </row>
    <row r="226" spans="1:5" x14ac:dyDescent="0.25">
      <c r="A226" s="5" t="s">
        <v>1784</v>
      </c>
      <c r="B226" s="5" t="s">
        <v>2080</v>
      </c>
      <c r="C226" s="14" t="s">
        <v>355</v>
      </c>
      <c r="D226" s="14" t="s">
        <v>356</v>
      </c>
      <c r="E226" s="208" t="s">
        <v>1470</v>
      </c>
    </row>
    <row r="227" spans="1:5" x14ac:dyDescent="0.25">
      <c r="A227" s="5" t="s">
        <v>1785</v>
      </c>
      <c r="B227" s="5" t="s">
        <v>2081</v>
      </c>
      <c r="C227" s="14" t="s">
        <v>741</v>
      </c>
      <c r="D227" s="14">
        <v>186399138</v>
      </c>
      <c r="E227" s="208" t="s">
        <v>1107</v>
      </c>
    </row>
    <row r="228" spans="1:5" x14ac:dyDescent="0.25">
      <c r="A228" s="5" t="s">
        <v>1786</v>
      </c>
      <c r="B228" s="5" t="s">
        <v>2082</v>
      </c>
      <c r="C228" s="14" t="s">
        <v>446</v>
      </c>
      <c r="D228" s="14" t="s">
        <v>445</v>
      </c>
      <c r="E228" s="208" t="s">
        <v>1179</v>
      </c>
    </row>
    <row r="229" spans="1:5" x14ac:dyDescent="0.25">
      <c r="A229" s="5" t="s">
        <v>1787</v>
      </c>
      <c r="B229" s="5" t="s">
        <v>2083</v>
      </c>
      <c r="C229" s="14" t="s">
        <v>398</v>
      </c>
      <c r="D229" s="14" t="s">
        <v>399</v>
      </c>
      <c r="E229" s="208" t="s">
        <v>855</v>
      </c>
    </row>
    <row r="230" spans="1:5" x14ac:dyDescent="0.25">
      <c r="A230" s="5" t="s">
        <v>1788</v>
      </c>
      <c r="B230" s="5" t="s">
        <v>2084</v>
      </c>
      <c r="C230" s="14" t="s">
        <v>258</v>
      </c>
      <c r="D230" s="14" t="s">
        <v>555</v>
      </c>
      <c r="E230" s="208" t="s">
        <v>1014</v>
      </c>
    </row>
    <row r="231" spans="1:5" x14ac:dyDescent="0.25">
      <c r="A231" s="5" t="s">
        <v>1789</v>
      </c>
      <c r="B231" s="5" t="s">
        <v>2085</v>
      </c>
      <c r="C231" s="14" t="s">
        <v>627</v>
      </c>
      <c r="D231" s="23" t="s">
        <v>628</v>
      </c>
      <c r="E231" s="204" t="s">
        <v>1447</v>
      </c>
    </row>
    <row r="232" spans="1:5" x14ac:dyDescent="0.25">
      <c r="A232" s="5" t="s">
        <v>1790</v>
      </c>
      <c r="B232" s="5" t="s">
        <v>2086</v>
      </c>
      <c r="C232" s="14" t="s">
        <v>268</v>
      </c>
      <c r="D232" s="23" t="s">
        <v>269</v>
      </c>
      <c r="E232" s="204" t="s">
        <v>813</v>
      </c>
    </row>
    <row r="233" spans="1:5" x14ac:dyDescent="0.25">
      <c r="A233" s="5" t="s">
        <v>1791</v>
      </c>
      <c r="B233" s="5" t="s">
        <v>2087</v>
      </c>
      <c r="C233" s="23" t="s">
        <v>431</v>
      </c>
      <c r="D233" s="23">
        <v>183234404</v>
      </c>
      <c r="E233" s="204" t="s">
        <v>948</v>
      </c>
    </row>
    <row r="234" spans="1:5" x14ac:dyDescent="0.25">
      <c r="A234" s="143" t="s">
        <v>1792</v>
      </c>
      <c r="B234" s="143" t="s">
        <v>2088</v>
      </c>
      <c r="C234" s="14" t="s">
        <v>744</v>
      </c>
      <c r="D234" s="14">
        <v>194152853</v>
      </c>
      <c r="E234" s="208" t="s">
        <v>1487</v>
      </c>
    </row>
    <row r="235" spans="1:5" x14ac:dyDescent="0.25">
      <c r="A235" s="177" t="s">
        <v>1793</v>
      </c>
      <c r="B235" s="177" t="s">
        <v>2089</v>
      </c>
      <c r="C235" s="181" t="s">
        <v>654</v>
      </c>
      <c r="D235" s="181">
        <v>281219088</v>
      </c>
      <c r="E235" s="214" t="s">
        <v>1143</v>
      </c>
    </row>
    <row r="236" spans="1:5" x14ac:dyDescent="0.25">
      <c r="A236" s="164" t="s">
        <v>1794</v>
      </c>
      <c r="B236" s="164" t="s">
        <v>2090</v>
      </c>
      <c r="C236" s="165" t="s">
        <v>745</v>
      </c>
      <c r="D236" s="165" t="s">
        <v>746</v>
      </c>
      <c r="E236" s="258" t="s">
        <v>1377</v>
      </c>
    </row>
    <row r="237" spans="1:5" x14ac:dyDescent="0.25">
      <c r="A237" s="190" t="s">
        <v>1795</v>
      </c>
      <c r="B237" s="190" t="s">
        <v>2091</v>
      </c>
      <c r="C237" s="180" t="s">
        <v>491</v>
      </c>
      <c r="D237" s="180" t="s">
        <v>492</v>
      </c>
      <c r="E237" s="212" t="s">
        <v>1449</v>
      </c>
    </row>
    <row r="238" spans="1:5" x14ac:dyDescent="0.25">
      <c r="A238" s="177" t="s">
        <v>1796</v>
      </c>
      <c r="B238" s="177" t="s">
        <v>2092</v>
      </c>
      <c r="C238" s="178" t="s">
        <v>568</v>
      </c>
      <c r="D238" s="178" t="s">
        <v>674</v>
      </c>
      <c r="E238" s="211" t="s">
        <v>864</v>
      </c>
    </row>
    <row r="239" spans="1:5" x14ac:dyDescent="0.25">
      <c r="A239" s="5" t="s">
        <v>1797</v>
      </c>
      <c r="B239" s="5" t="s">
        <v>2093</v>
      </c>
      <c r="C239" s="6" t="s">
        <v>252</v>
      </c>
      <c r="D239" s="157" t="s">
        <v>253</v>
      </c>
      <c r="E239" s="253" t="s">
        <v>1218</v>
      </c>
    </row>
    <row r="240" spans="1:5" x14ac:dyDescent="0.25">
      <c r="A240" s="5" t="s">
        <v>1798</v>
      </c>
      <c r="B240" s="5" t="s">
        <v>2094</v>
      </c>
      <c r="C240" s="14" t="s">
        <v>189</v>
      </c>
      <c r="D240" s="14" t="s">
        <v>190</v>
      </c>
      <c r="E240" s="204" t="s">
        <v>891</v>
      </c>
    </row>
    <row r="241" spans="1:5" x14ac:dyDescent="0.25">
      <c r="A241" s="132" t="s">
        <v>1799</v>
      </c>
      <c r="B241" s="132" t="s">
        <v>2095</v>
      </c>
      <c r="C241" s="14" t="s">
        <v>191</v>
      </c>
      <c r="D241" s="23" t="s">
        <v>192</v>
      </c>
      <c r="E241" s="204" t="s">
        <v>888</v>
      </c>
    </row>
    <row r="242" spans="1:5" x14ac:dyDescent="0.25">
      <c r="A242" s="171" t="s">
        <v>1800</v>
      </c>
      <c r="B242" s="171" t="s">
        <v>2096</v>
      </c>
      <c r="C242" s="140" t="s">
        <v>215</v>
      </c>
      <c r="D242" s="166" t="s">
        <v>216</v>
      </c>
      <c r="E242" s="229" t="s">
        <v>909</v>
      </c>
    </row>
    <row r="243" spans="1:5" x14ac:dyDescent="0.25">
      <c r="A243" s="132" t="s">
        <v>1801</v>
      </c>
      <c r="B243" s="132" t="s">
        <v>2097</v>
      </c>
      <c r="C243" s="23" t="s">
        <v>752</v>
      </c>
      <c r="D243" s="23"/>
      <c r="E243" s="204" t="s">
        <v>1528</v>
      </c>
    </row>
    <row r="244" spans="1:5" x14ac:dyDescent="0.25">
      <c r="A244" s="28" t="s">
        <v>1802</v>
      </c>
      <c r="B244" s="28" t="s">
        <v>2098</v>
      </c>
      <c r="C244" s="133" t="s">
        <v>193</v>
      </c>
      <c r="D244" s="133" t="s">
        <v>194</v>
      </c>
      <c r="E244" s="230" t="s">
        <v>885</v>
      </c>
    </row>
    <row r="245" spans="1:5" x14ac:dyDescent="0.25">
      <c r="A245" s="150" t="s">
        <v>1803</v>
      </c>
      <c r="B245" s="150" t="s">
        <v>2099</v>
      </c>
      <c r="C245" s="6" t="s">
        <v>195</v>
      </c>
      <c r="D245" s="6" t="s">
        <v>196</v>
      </c>
      <c r="E245" s="207" t="s">
        <v>1200</v>
      </c>
    </row>
    <row r="246" spans="1:5" x14ac:dyDescent="0.25">
      <c r="A246" s="170" t="s">
        <v>1804</v>
      </c>
      <c r="B246" s="170" t="s">
        <v>2100</v>
      </c>
      <c r="C246" s="167" t="s">
        <v>747</v>
      </c>
      <c r="D246" s="167" t="s">
        <v>748</v>
      </c>
      <c r="E246" s="231" t="s">
        <v>1530</v>
      </c>
    </row>
    <row r="247" spans="1:5" x14ac:dyDescent="0.25">
      <c r="A247" s="5" t="s">
        <v>1805</v>
      </c>
      <c r="B247" s="5" t="s">
        <v>2101</v>
      </c>
      <c r="C247" s="14" t="s">
        <v>199</v>
      </c>
      <c r="D247" s="14" t="s">
        <v>200</v>
      </c>
      <c r="E247" s="208" t="s">
        <v>1221</v>
      </c>
    </row>
    <row r="248" spans="1:5" x14ac:dyDescent="0.25">
      <c r="A248" s="5" t="s">
        <v>1806</v>
      </c>
      <c r="B248" s="5" t="s">
        <v>2102</v>
      </c>
      <c r="C248" s="23" t="s">
        <v>752</v>
      </c>
      <c r="D248" s="151"/>
      <c r="E248" s="151" t="s">
        <v>1532</v>
      </c>
    </row>
    <row r="249" spans="1:5" x14ac:dyDescent="0.25">
      <c r="A249" s="28" t="s">
        <v>1807</v>
      </c>
      <c r="B249" s="28" t="s">
        <v>2103</v>
      </c>
      <c r="C249" s="133" t="s">
        <v>575</v>
      </c>
      <c r="D249" s="133" t="s">
        <v>574</v>
      </c>
      <c r="E249" s="230" t="s">
        <v>1531</v>
      </c>
    </row>
    <row r="250" spans="1:5" x14ac:dyDescent="0.25">
      <c r="A250" s="5" t="s">
        <v>1808</v>
      </c>
      <c r="B250" s="5" t="s">
        <v>2104</v>
      </c>
      <c r="C250" s="14" t="s">
        <v>197</v>
      </c>
      <c r="D250" s="14" t="s">
        <v>198</v>
      </c>
      <c r="E250" s="208" t="s">
        <v>861</v>
      </c>
    </row>
    <row r="251" spans="1:5" x14ac:dyDescent="0.25">
      <c r="A251" s="139" t="s">
        <v>1809</v>
      </c>
      <c r="B251" s="139" t="s">
        <v>2105</v>
      </c>
      <c r="C251" s="140" t="s">
        <v>749</v>
      </c>
      <c r="D251" s="140" t="s">
        <v>750</v>
      </c>
      <c r="E251" s="209" t="s">
        <v>1203</v>
      </c>
    </row>
    <row r="252" spans="1:5" x14ac:dyDescent="0.25">
      <c r="A252" s="152" t="s">
        <v>1810</v>
      </c>
      <c r="B252" s="152" t="s">
        <v>2106</v>
      </c>
      <c r="C252" s="153" t="s">
        <v>201</v>
      </c>
      <c r="D252" s="153" t="s">
        <v>202</v>
      </c>
      <c r="E252" s="232" t="s">
        <v>894</v>
      </c>
    </row>
    <row r="253" spans="1:5" x14ac:dyDescent="0.25">
      <c r="A253" s="28" t="s">
        <v>1811</v>
      </c>
      <c r="B253" s="28" t="s">
        <v>2107</v>
      </c>
      <c r="C253" s="133" t="s">
        <v>486</v>
      </c>
      <c r="D253" s="133" t="s">
        <v>485</v>
      </c>
      <c r="E253" s="230" t="s">
        <v>1338</v>
      </c>
    </row>
    <row r="254" spans="1:5" x14ac:dyDescent="0.25">
      <c r="A254" s="5" t="s">
        <v>1812</v>
      </c>
      <c r="B254" s="5" t="s">
        <v>2108</v>
      </c>
      <c r="C254" s="14" t="s">
        <v>203</v>
      </c>
      <c r="D254" s="14" t="s">
        <v>204</v>
      </c>
      <c r="E254" s="208" t="s">
        <v>873</v>
      </c>
    </row>
    <row r="255" spans="1:5" x14ac:dyDescent="0.25">
      <c r="A255" s="4" t="s">
        <v>1813</v>
      </c>
      <c r="B255" s="4" t="s">
        <v>2109</v>
      </c>
      <c r="C255" s="134" t="s">
        <v>607</v>
      </c>
      <c r="D255" s="159" t="s">
        <v>608</v>
      </c>
      <c r="E255" s="233" t="s">
        <v>942</v>
      </c>
    </row>
    <row r="256" spans="1:5" x14ac:dyDescent="0.25">
      <c r="A256" s="4" t="s">
        <v>1814</v>
      </c>
      <c r="B256" s="4" t="s">
        <v>2110</v>
      </c>
      <c r="C256" s="134" t="s">
        <v>433</v>
      </c>
      <c r="D256" s="134" t="s">
        <v>434</v>
      </c>
      <c r="E256" s="233" t="s">
        <v>1206</v>
      </c>
    </row>
    <row r="257" spans="1:5" x14ac:dyDescent="0.25">
      <c r="A257" s="5" t="s">
        <v>1815</v>
      </c>
      <c r="B257" s="5" t="s">
        <v>2111</v>
      </c>
      <c r="C257" s="14" t="s">
        <v>205</v>
      </c>
      <c r="D257" s="23" t="s">
        <v>206</v>
      </c>
      <c r="E257" s="204" t="s">
        <v>1209</v>
      </c>
    </row>
    <row r="258" spans="1:5" x14ac:dyDescent="0.25">
      <c r="A258" s="5" t="s">
        <v>1816</v>
      </c>
      <c r="B258" s="5" t="s">
        <v>2112</v>
      </c>
      <c r="C258" s="23" t="s">
        <v>793</v>
      </c>
      <c r="D258" s="23"/>
      <c r="E258" s="204" t="s">
        <v>1540</v>
      </c>
    </row>
    <row r="259" spans="1:5" x14ac:dyDescent="0.25">
      <c r="A259" s="177" t="s">
        <v>1817</v>
      </c>
      <c r="B259" s="177" t="s">
        <v>2113</v>
      </c>
      <c r="C259" s="181" t="s">
        <v>793</v>
      </c>
      <c r="D259" s="181"/>
      <c r="E259" s="214" t="s">
        <v>1541</v>
      </c>
    </row>
    <row r="260" spans="1:5" x14ac:dyDescent="0.25">
      <c r="A260" s="5" t="s">
        <v>1818</v>
      </c>
      <c r="B260" s="5" t="s">
        <v>2114</v>
      </c>
      <c r="C260" s="14" t="s">
        <v>207</v>
      </c>
      <c r="D260" s="14" t="s">
        <v>208</v>
      </c>
      <c r="E260" s="208" t="s">
        <v>933</v>
      </c>
    </row>
    <row r="261" spans="1:5" x14ac:dyDescent="0.25">
      <c r="A261" s="5" t="s">
        <v>1819</v>
      </c>
      <c r="B261" s="5" t="s">
        <v>2115</v>
      </c>
      <c r="C261" s="14" t="s">
        <v>209</v>
      </c>
      <c r="D261" s="14" t="s">
        <v>210</v>
      </c>
      <c r="E261" s="208" t="s">
        <v>1215</v>
      </c>
    </row>
    <row r="262" spans="1:5" x14ac:dyDescent="0.25">
      <c r="A262" s="152" t="s">
        <v>1820</v>
      </c>
      <c r="B262" s="152" t="s">
        <v>2116</v>
      </c>
      <c r="C262" s="153" t="s">
        <v>211</v>
      </c>
      <c r="D262" s="154" t="s">
        <v>544</v>
      </c>
      <c r="E262" s="234" t="s">
        <v>978</v>
      </c>
    </row>
    <row r="263" spans="1:5" x14ac:dyDescent="0.25">
      <c r="A263" s="28" t="s">
        <v>1821</v>
      </c>
      <c r="B263" s="28" t="s">
        <v>2117</v>
      </c>
      <c r="C263" s="135" t="s">
        <v>440</v>
      </c>
      <c r="D263" s="135" t="s">
        <v>441</v>
      </c>
      <c r="E263" s="235" t="s">
        <v>1026</v>
      </c>
    </row>
    <row r="264" spans="1:5" x14ac:dyDescent="0.25">
      <c r="A264" s="5" t="s">
        <v>1822</v>
      </c>
      <c r="B264" s="5" t="s">
        <v>2118</v>
      </c>
      <c r="C264" s="14" t="s">
        <v>455</v>
      </c>
      <c r="D264" s="14" t="s">
        <v>456</v>
      </c>
      <c r="E264" s="208" t="s">
        <v>987</v>
      </c>
    </row>
    <row r="265" spans="1:5" x14ac:dyDescent="0.25">
      <c r="A265" s="5" t="s">
        <v>1823</v>
      </c>
      <c r="B265" s="5" t="s">
        <v>2119</v>
      </c>
      <c r="C265" s="6" t="s">
        <v>212</v>
      </c>
      <c r="D265" s="6" t="s">
        <v>545</v>
      </c>
      <c r="E265" s="207" t="s">
        <v>1002</v>
      </c>
    </row>
    <row r="266" spans="1:5" x14ac:dyDescent="0.25">
      <c r="A266" s="5" t="s">
        <v>1824</v>
      </c>
      <c r="B266" s="5" t="s">
        <v>2120</v>
      </c>
      <c r="C266" s="14" t="s">
        <v>638</v>
      </c>
      <c r="D266" s="14" t="s">
        <v>639</v>
      </c>
      <c r="E266" s="208" t="s">
        <v>975</v>
      </c>
    </row>
    <row r="267" spans="1:5" x14ac:dyDescent="0.25">
      <c r="A267" s="152" t="s">
        <v>1825</v>
      </c>
      <c r="B267" s="152" t="s">
        <v>2121</v>
      </c>
      <c r="C267" s="153" t="s">
        <v>213</v>
      </c>
      <c r="D267" s="153" t="s">
        <v>214</v>
      </c>
      <c r="E267" s="232" t="s">
        <v>867</v>
      </c>
    </row>
    <row r="268" spans="1:5" x14ac:dyDescent="0.25">
      <c r="A268" s="28" t="s">
        <v>1826</v>
      </c>
      <c r="B268" s="28" t="s">
        <v>2122</v>
      </c>
      <c r="C268" s="133" t="s">
        <v>531</v>
      </c>
      <c r="D268" s="133" t="s">
        <v>1402</v>
      </c>
      <c r="E268" s="230" t="s">
        <v>993</v>
      </c>
    </row>
    <row r="269" spans="1:5" x14ac:dyDescent="0.25">
      <c r="A269" s="28" t="s">
        <v>1827</v>
      </c>
      <c r="B269" s="28" t="s">
        <v>2123</v>
      </c>
      <c r="C269" s="133" t="s">
        <v>217</v>
      </c>
      <c r="D269" s="133" t="s">
        <v>218</v>
      </c>
      <c r="E269" s="230" t="s">
        <v>831</v>
      </c>
    </row>
    <row r="270" spans="1:5" x14ac:dyDescent="0.25">
      <c r="A270" s="5" t="s">
        <v>1828</v>
      </c>
      <c r="B270" s="5" t="s">
        <v>2124</v>
      </c>
      <c r="C270" s="14" t="s">
        <v>221</v>
      </c>
      <c r="D270" s="14" t="s">
        <v>222</v>
      </c>
      <c r="E270" s="208" t="s">
        <v>834</v>
      </c>
    </row>
    <row r="271" spans="1:5" x14ac:dyDescent="0.25">
      <c r="A271" s="5" t="s">
        <v>1829</v>
      </c>
      <c r="B271" s="5" t="s">
        <v>2125</v>
      </c>
      <c r="C271" s="14" t="s">
        <v>577</v>
      </c>
      <c r="D271" s="14" t="s">
        <v>576</v>
      </c>
      <c r="E271" s="208" t="s">
        <v>1062</v>
      </c>
    </row>
    <row r="272" spans="1:5" x14ac:dyDescent="0.25">
      <c r="A272" s="5" t="s">
        <v>1830</v>
      </c>
      <c r="B272" s="5" t="s">
        <v>2126</v>
      </c>
      <c r="C272" s="14" t="s">
        <v>219</v>
      </c>
      <c r="D272" s="14" t="s">
        <v>220</v>
      </c>
      <c r="E272" s="208" t="s">
        <v>1386</v>
      </c>
    </row>
    <row r="273" spans="1:5" x14ac:dyDescent="0.25">
      <c r="A273" s="5" t="s">
        <v>1831</v>
      </c>
      <c r="B273" s="5" t="s">
        <v>2127</v>
      </c>
      <c r="C273" s="160" t="s">
        <v>223</v>
      </c>
      <c r="D273" s="161">
        <v>273114600</v>
      </c>
      <c r="E273" s="204" t="s">
        <v>897</v>
      </c>
    </row>
    <row r="274" spans="1:5" x14ac:dyDescent="0.25">
      <c r="A274" s="278" t="s">
        <v>1832</v>
      </c>
      <c r="B274" s="278" t="s">
        <v>2128</v>
      </c>
      <c r="C274" s="136" t="s">
        <v>526</v>
      </c>
      <c r="D274" s="137" t="s">
        <v>527</v>
      </c>
      <c r="E274" s="272" t="s">
        <v>1383</v>
      </c>
    </row>
    <row r="275" spans="1:5" x14ac:dyDescent="0.25">
      <c r="A275" s="152" t="s">
        <v>1833</v>
      </c>
      <c r="B275" s="152" t="s">
        <v>2129</v>
      </c>
      <c r="C275" s="155" t="s">
        <v>224</v>
      </c>
      <c r="D275" s="156" t="s">
        <v>225</v>
      </c>
      <c r="E275" s="234" t="s">
        <v>1535</v>
      </c>
    </row>
    <row r="276" spans="1:5" x14ac:dyDescent="0.25">
      <c r="A276" s="194" t="s">
        <v>1834</v>
      </c>
      <c r="B276" s="194" t="s">
        <v>2130</v>
      </c>
      <c r="C276" s="195" t="s">
        <v>793</v>
      </c>
      <c r="D276" s="196"/>
      <c r="E276" s="274" t="s">
        <v>1542</v>
      </c>
    </row>
    <row r="277" spans="1:5" x14ac:dyDescent="0.25">
      <c r="A277" s="28" t="s">
        <v>501</v>
      </c>
      <c r="B277" s="28" t="s">
        <v>2131</v>
      </c>
      <c r="C277" s="135" t="s">
        <v>228</v>
      </c>
      <c r="D277" s="135" t="s">
        <v>229</v>
      </c>
      <c r="E277" s="235" t="s">
        <v>939</v>
      </c>
    </row>
    <row r="278" spans="1:5" x14ac:dyDescent="0.25">
      <c r="A278" s="177" t="s">
        <v>1835</v>
      </c>
      <c r="B278" s="177" t="s">
        <v>2132</v>
      </c>
      <c r="C278" s="178" t="s">
        <v>436</v>
      </c>
      <c r="D278" s="178" t="s">
        <v>437</v>
      </c>
      <c r="E278" s="211" t="s">
        <v>1496</v>
      </c>
    </row>
    <row r="279" spans="1:5" x14ac:dyDescent="0.25">
      <c r="A279" s="5" t="s">
        <v>1836</v>
      </c>
      <c r="B279" s="5" t="s">
        <v>2133</v>
      </c>
      <c r="C279" s="14" t="s">
        <v>226</v>
      </c>
      <c r="D279" s="14" t="s">
        <v>227</v>
      </c>
      <c r="E279" s="209" t="s">
        <v>801</v>
      </c>
    </row>
    <row r="280" spans="1:5" x14ac:dyDescent="0.25">
      <c r="A280" s="12" t="s">
        <v>1837</v>
      </c>
      <c r="B280" s="12" t="s">
        <v>2134</v>
      </c>
      <c r="C280" s="149" t="s">
        <v>611</v>
      </c>
      <c r="D280" s="149" t="s">
        <v>610</v>
      </c>
      <c r="E280" s="275" t="s">
        <v>1545</v>
      </c>
    </row>
    <row r="281" spans="1:5" x14ac:dyDescent="0.25">
      <c r="A281" s="5" t="s">
        <v>1838</v>
      </c>
      <c r="B281" s="5" t="s">
        <v>2135</v>
      </c>
      <c r="C281" s="23" t="s">
        <v>793</v>
      </c>
      <c r="D281" s="23"/>
      <c r="E281" s="204" t="s">
        <v>1543</v>
      </c>
    </row>
    <row r="282" spans="1:5" x14ac:dyDescent="0.25">
      <c r="A282" s="5" t="s">
        <v>1839</v>
      </c>
      <c r="B282" s="5" t="s">
        <v>2136</v>
      </c>
      <c r="C282" s="14" t="s">
        <v>543</v>
      </c>
      <c r="D282" s="23" t="s">
        <v>542</v>
      </c>
      <c r="E282" s="204" t="s">
        <v>819</v>
      </c>
    </row>
    <row r="283" spans="1:5" x14ac:dyDescent="0.25">
      <c r="A283" s="5" t="s">
        <v>1840</v>
      </c>
      <c r="B283" s="5" t="s">
        <v>2137</v>
      </c>
      <c r="C283" s="14" t="s">
        <v>232</v>
      </c>
      <c r="D283" s="14" t="s">
        <v>551</v>
      </c>
      <c r="E283" s="208" t="s">
        <v>1536</v>
      </c>
    </row>
    <row r="284" spans="1:5" x14ac:dyDescent="0.25">
      <c r="A284" s="5" t="s">
        <v>1841</v>
      </c>
      <c r="B284" s="5" t="s">
        <v>2138</v>
      </c>
      <c r="C284" s="23" t="s">
        <v>230</v>
      </c>
      <c r="D284" s="23" t="s">
        <v>231</v>
      </c>
      <c r="E284" s="204" t="s">
        <v>924</v>
      </c>
    </row>
    <row r="285" spans="1:5" x14ac:dyDescent="0.25">
      <c r="A285" s="5" t="s">
        <v>1842</v>
      </c>
      <c r="B285" s="5" t="s">
        <v>2139</v>
      </c>
      <c r="C285" s="14" t="s">
        <v>467</v>
      </c>
      <c r="D285" s="14" t="s">
        <v>468</v>
      </c>
      <c r="E285" s="208" t="s">
        <v>1158</v>
      </c>
    </row>
    <row r="286" spans="1:5" x14ac:dyDescent="0.25">
      <c r="A286" s="5" t="s">
        <v>1843</v>
      </c>
      <c r="B286" s="5" t="s">
        <v>2140</v>
      </c>
      <c r="C286" s="14" t="s">
        <v>790</v>
      </c>
      <c r="D286" s="14" t="s">
        <v>778</v>
      </c>
      <c r="E286" s="208" t="s">
        <v>969</v>
      </c>
    </row>
    <row r="287" spans="1:5" x14ac:dyDescent="0.25">
      <c r="A287" s="5" t="s">
        <v>1844</v>
      </c>
      <c r="B287" s="5" t="s">
        <v>2141</v>
      </c>
      <c r="C287" s="14" t="s">
        <v>233</v>
      </c>
      <c r="D287" s="14" t="s">
        <v>234</v>
      </c>
      <c r="E287" s="208" t="s">
        <v>1161</v>
      </c>
    </row>
    <row r="288" spans="1:5" x14ac:dyDescent="0.25">
      <c r="A288" s="5" t="s">
        <v>1845</v>
      </c>
      <c r="B288" s="5" t="s">
        <v>2142</v>
      </c>
      <c r="C288" s="14" t="s">
        <v>235</v>
      </c>
      <c r="D288" s="23" t="s">
        <v>236</v>
      </c>
      <c r="E288" s="204" t="s">
        <v>1537</v>
      </c>
    </row>
    <row r="289" spans="1:5" x14ac:dyDescent="0.25">
      <c r="A289" s="5" t="s">
        <v>1846</v>
      </c>
      <c r="B289" s="5" t="s">
        <v>2143</v>
      </c>
      <c r="C289" s="14" t="s">
        <v>777</v>
      </c>
      <c r="D289" s="14" t="s">
        <v>776</v>
      </c>
      <c r="E289" s="208" t="s">
        <v>1538</v>
      </c>
    </row>
    <row r="290" spans="1:5" x14ac:dyDescent="0.25">
      <c r="A290" s="5" t="s">
        <v>1847</v>
      </c>
      <c r="B290" s="5" t="s">
        <v>2144</v>
      </c>
      <c r="C290" s="6" t="s">
        <v>237</v>
      </c>
      <c r="D290" s="6" t="s">
        <v>238</v>
      </c>
      <c r="E290" s="207" t="s">
        <v>1152</v>
      </c>
    </row>
    <row r="291" spans="1:5" x14ac:dyDescent="0.25">
      <c r="A291" s="5" t="s">
        <v>1848</v>
      </c>
      <c r="B291" s="5" t="s">
        <v>2145</v>
      </c>
      <c r="C291" s="14" t="s">
        <v>589</v>
      </c>
      <c r="D291" s="14">
        <v>301062396</v>
      </c>
      <c r="E291" s="208" t="s">
        <v>1137</v>
      </c>
    </row>
    <row r="292" spans="1:5" x14ac:dyDescent="0.25">
      <c r="A292" s="5" t="s">
        <v>1849</v>
      </c>
      <c r="B292" s="5" t="s">
        <v>2146</v>
      </c>
      <c r="C292" s="14"/>
      <c r="D292" s="14"/>
      <c r="E292" s="208" t="s">
        <v>1544</v>
      </c>
    </row>
    <row r="293" spans="1:5" x14ac:dyDescent="0.25">
      <c r="A293" s="5" t="s">
        <v>1850</v>
      </c>
      <c r="B293" s="5" t="s">
        <v>2147</v>
      </c>
      <c r="C293" s="14" t="s">
        <v>523</v>
      </c>
      <c r="D293" s="14" t="s">
        <v>524</v>
      </c>
      <c r="E293" s="208" t="s">
        <v>1323</v>
      </c>
    </row>
    <row r="294" spans="1:5" x14ac:dyDescent="0.25">
      <c r="A294" s="5" t="s">
        <v>1851</v>
      </c>
      <c r="B294" s="5" t="s">
        <v>2148</v>
      </c>
      <c r="C294" s="14" t="s">
        <v>239</v>
      </c>
      <c r="D294" s="14" t="s">
        <v>240</v>
      </c>
      <c r="E294" s="208" t="s">
        <v>1320</v>
      </c>
    </row>
    <row r="295" spans="1:5" ht="26.4" x14ac:dyDescent="0.25">
      <c r="A295" s="143" t="s">
        <v>1852</v>
      </c>
      <c r="B295" s="143" t="s">
        <v>2149</v>
      </c>
      <c r="C295" s="6" t="s">
        <v>348</v>
      </c>
      <c r="D295" s="144" t="s">
        <v>349</v>
      </c>
      <c r="E295" s="236" t="s">
        <v>1125</v>
      </c>
    </row>
    <row r="296" spans="1:5" x14ac:dyDescent="0.25">
      <c r="A296" s="143" t="s">
        <v>1853</v>
      </c>
      <c r="B296" s="143" t="s">
        <v>2150</v>
      </c>
      <c r="C296" s="14" t="s">
        <v>659</v>
      </c>
      <c r="D296" s="23" t="s">
        <v>660</v>
      </c>
      <c r="E296" s="204" t="s">
        <v>945</v>
      </c>
    </row>
    <row r="297" spans="1:5" x14ac:dyDescent="0.25">
      <c r="A297" s="139" t="s">
        <v>1854</v>
      </c>
      <c r="B297" s="139" t="s">
        <v>2151</v>
      </c>
      <c r="C297" s="140" t="s">
        <v>774</v>
      </c>
      <c r="D297" s="140" t="s">
        <v>775</v>
      </c>
      <c r="E297" s="209" t="s">
        <v>1155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52"/>
  <sheetViews>
    <sheetView topLeftCell="A10" workbookViewId="0">
      <selection activeCell="R26" sqref="R26"/>
    </sheetView>
  </sheetViews>
  <sheetFormatPr defaultColWidth="9.109375" defaultRowHeight="13.2" outlineLevelCol="1" x14ac:dyDescent="0.25"/>
  <cols>
    <col min="1" max="1" width="3.5546875" style="37" customWidth="1"/>
    <col min="2" max="2" width="2.33203125" style="37" hidden="1" customWidth="1" outlineLevel="1"/>
    <col min="3" max="3" width="17.88671875" style="37" customWidth="1" collapsed="1"/>
    <col min="4" max="4" width="8" style="37" customWidth="1"/>
    <col min="5" max="5" width="12.88671875" style="75" customWidth="1"/>
    <col min="6" max="7" width="11.44140625" style="76" hidden="1" customWidth="1" outlineLevel="1"/>
    <col min="8" max="8" width="16.109375" style="242" hidden="1" customWidth="1" outlineLevel="1"/>
    <col min="9" max="9" width="12.109375" style="37" customWidth="1" collapsed="1"/>
    <col min="10" max="10" width="5.88671875" style="37" hidden="1" customWidth="1" outlineLevel="1"/>
    <col min="11" max="11" width="9.33203125" style="37" hidden="1" customWidth="1" outlineLevel="1"/>
    <col min="12" max="12" width="11" style="37" customWidth="1" collapsed="1"/>
    <col min="13" max="13" width="2" style="37" hidden="1" customWidth="1" outlineLevel="1"/>
    <col min="14" max="14" width="11.88671875" style="46" customWidth="1" collapsed="1"/>
    <col min="15" max="15" width="8" style="37" hidden="1" customWidth="1" outlineLevel="1"/>
    <col min="16" max="16" width="4.88671875" style="37" hidden="1" customWidth="1" outlineLevel="1"/>
    <col min="17" max="17" width="4.44140625" style="37" hidden="1" customWidth="1" outlineLevel="1"/>
    <col min="18" max="18" width="14" style="37" customWidth="1" collapsed="1"/>
    <col min="19" max="19" width="1.33203125" style="37" hidden="1" customWidth="1" outlineLevel="1"/>
    <col min="20" max="20" width="0.88671875" style="37" hidden="1" customWidth="1" outlineLevel="1"/>
    <col min="21" max="21" width="0.6640625" style="37" hidden="1" customWidth="1" outlineLevel="1"/>
    <col min="22" max="22" width="0.5546875" style="37" hidden="1" customWidth="1" outlineLevel="1"/>
    <col min="23" max="23" width="1" style="37" hidden="1" customWidth="1" outlineLevel="1"/>
    <col min="24" max="24" width="12" style="37" customWidth="1" collapsed="1"/>
    <col min="25" max="25" width="10" style="37" customWidth="1"/>
    <col min="26" max="26" width="9.88671875" style="37" customWidth="1"/>
    <col min="27" max="27" width="10" style="37" bestFit="1" customWidth="1"/>
    <col min="28" max="28" width="10.33203125" style="37" hidden="1" customWidth="1" outlineLevel="1"/>
    <col min="29" max="29" width="4.5546875" style="37" hidden="1" customWidth="1" outlineLevel="1"/>
    <col min="30" max="30" width="10" style="37" hidden="1" customWidth="1" outlineLevel="1"/>
    <col min="31" max="31" width="7.88671875" style="37" hidden="1" customWidth="1" outlineLevel="1"/>
    <col min="32" max="32" width="11" style="37" hidden="1" customWidth="1" outlineLevel="1"/>
    <col min="33" max="33" width="8" style="37" bestFit="1" customWidth="1" collapsed="1"/>
    <col min="34" max="34" width="11" style="37" bestFit="1" customWidth="1"/>
    <col min="35" max="35" width="12.33203125" style="37" customWidth="1"/>
    <col min="36" max="36" width="4.88671875" style="296" customWidth="1"/>
    <col min="37" max="37" width="2.33203125" style="296" customWidth="1"/>
    <col min="38" max="38" width="18" style="37" customWidth="1"/>
    <col min="39" max="39" width="7" style="37" customWidth="1"/>
    <col min="40" max="40" width="14.33203125" style="37" customWidth="1"/>
    <col min="41" max="16384" width="9.109375" style="37"/>
  </cols>
  <sheetData>
    <row r="1" spans="1:54" x14ac:dyDescent="0.25">
      <c r="A1" s="37" t="s">
        <v>133</v>
      </c>
    </row>
    <row r="2" spans="1:54" ht="15.6" x14ac:dyDescent="0.3">
      <c r="A2" s="350" t="s">
        <v>2163</v>
      </c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</row>
    <row r="3" spans="1:54" ht="15.6" x14ac:dyDescent="0.3">
      <c r="A3" s="350" t="s">
        <v>2164</v>
      </c>
      <c r="B3" s="350"/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  <c r="AD3" s="350"/>
      <c r="AE3" s="350"/>
      <c r="AF3" s="350"/>
      <c r="AG3" s="350"/>
      <c r="AH3" s="350"/>
      <c r="AI3" s="350"/>
      <c r="AJ3" s="304"/>
      <c r="AK3" s="284"/>
    </row>
    <row r="4" spans="1:54" ht="15.6" x14ac:dyDescent="0.3">
      <c r="A4" s="373" t="s">
        <v>2167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3"/>
      <c r="AJ4" s="37"/>
      <c r="AK4" s="37"/>
      <c r="AN4" s="296"/>
    </row>
    <row r="5" spans="1:54" ht="13.8" x14ac:dyDescent="0.3">
      <c r="A5" s="344" t="s">
        <v>16</v>
      </c>
      <c r="B5" s="287"/>
      <c r="C5" s="338" t="s">
        <v>116</v>
      </c>
      <c r="D5" s="339"/>
      <c r="E5" s="374" t="s">
        <v>88</v>
      </c>
      <c r="F5" s="48" t="s">
        <v>75</v>
      </c>
      <c r="G5" s="48" t="s">
        <v>53</v>
      </c>
      <c r="H5" s="206"/>
      <c r="I5" s="335" t="s">
        <v>509</v>
      </c>
      <c r="J5" s="77" t="s">
        <v>457</v>
      </c>
      <c r="K5" s="285"/>
      <c r="L5" s="357" t="s">
        <v>132</v>
      </c>
      <c r="M5" s="379"/>
      <c r="N5" s="386" t="s">
        <v>2188</v>
      </c>
      <c r="O5" s="380" t="s">
        <v>649</v>
      </c>
      <c r="P5" s="381"/>
      <c r="Q5" s="295"/>
      <c r="R5" s="379" t="s">
        <v>2169</v>
      </c>
      <c r="S5" s="49"/>
      <c r="T5" s="49"/>
      <c r="U5" s="49"/>
      <c r="V5" s="49"/>
      <c r="W5" s="49"/>
      <c r="X5" s="389" t="s">
        <v>2165</v>
      </c>
      <c r="Y5" s="390"/>
      <c r="Z5" s="390"/>
      <c r="AA5" s="390"/>
      <c r="AB5" s="390"/>
      <c r="AC5" s="390"/>
      <c r="AD5" s="390"/>
      <c r="AE5" s="390"/>
      <c r="AF5" s="390"/>
      <c r="AG5" s="391"/>
      <c r="AH5" s="360" t="s">
        <v>117</v>
      </c>
      <c r="AI5" s="344" t="s">
        <v>119</v>
      </c>
      <c r="AJ5" s="344" t="s">
        <v>16</v>
      </c>
      <c r="AK5" s="287"/>
      <c r="AL5" s="338" t="s">
        <v>116</v>
      </c>
      <c r="AM5" s="339"/>
      <c r="AN5" s="344" t="s">
        <v>88</v>
      </c>
      <c r="AO5" s="389" t="s">
        <v>134</v>
      </c>
      <c r="AP5" s="390"/>
      <c r="AQ5" s="390"/>
      <c r="AR5" s="390"/>
      <c r="AS5" s="390"/>
      <c r="AT5" s="390"/>
      <c r="AU5" s="390"/>
      <c r="AV5" s="390"/>
      <c r="AW5" s="390"/>
      <c r="AX5" s="390"/>
      <c r="AY5" s="390"/>
      <c r="AZ5" s="391"/>
    </row>
    <row r="6" spans="1:54" ht="13.8" x14ac:dyDescent="0.25">
      <c r="A6" s="348"/>
      <c r="B6" s="289"/>
      <c r="C6" s="340"/>
      <c r="D6" s="341"/>
      <c r="E6" s="375"/>
      <c r="F6" s="78"/>
      <c r="G6" s="78"/>
      <c r="H6" s="243"/>
      <c r="I6" s="348"/>
      <c r="J6" s="79"/>
      <c r="K6" s="301"/>
      <c r="L6" s="377"/>
      <c r="M6" s="361"/>
      <c r="N6" s="387"/>
      <c r="O6" s="382"/>
      <c r="P6" s="383"/>
      <c r="Q6" s="293"/>
      <c r="R6" s="361"/>
      <c r="S6" s="293"/>
      <c r="T6" s="293"/>
      <c r="U6" s="293"/>
      <c r="V6" s="293"/>
      <c r="W6" s="293"/>
      <c r="X6" s="344" t="s">
        <v>17</v>
      </c>
      <c r="Y6" s="344" t="s">
        <v>18</v>
      </c>
      <c r="Z6" s="344" t="s">
        <v>97</v>
      </c>
      <c r="AA6" s="344" t="s">
        <v>56</v>
      </c>
      <c r="AB6" s="288" t="s">
        <v>82</v>
      </c>
      <c r="AC6" s="288" t="s">
        <v>91</v>
      </c>
      <c r="AD6" s="288" t="s">
        <v>83</v>
      </c>
      <c r="AE6" s="292" t="s">
        <v>83</v>
      </c>
      <c r="AF6" s="392" t="s">
        <v>64</v>
      </c>
      <c r="AG6" s="394" t="s">
        <v>86</v>
      </c>
      <c r="AH6" s="361"/>
      <c r="AI6" s="348"/>
      <c r="AJ6" s="348"/>
      <c r="AK6" s="289"/>
      <c r="AL6" s="340"/>
      <c r="AM6" s="341"/>
      <c r="AN6" s="348"/>
      <c r="AO6" s="396"/>
      <c r="AP6" s="397"/>
      <c r="AQ6" s="397"/>
      <c r="AR6" s="397"/>
      <c r="AS6" s="397"/>
      <c r="AT6" s="397"/>
      <c r="AU6" s="397"/>
      <c r="AV6" s="397"/>
      <c r="AW6" s="397"/>
      <c r="AX6" s="397"/>
      <c r="AY6" s="397"/>
      <c r="AZ6" s="398"/>
    </row>
    <row r="7" spans="1:54" ht="13.8" x14ac:dyDescent="0.25">
      <c r="A7" s="345"/>
      <c r="B7" s="290"/>
      <c r="C7" s="342"/>
      <c r="D7" s="343"/>
      <c r="E7" s="376"/>
      <c r="F7" s="80"/>
      <c r="G7" s="80"/>
      <c r="H7" s="244"/>
      <c r="I7" s="345"/>
      <c r="J7" s="81"/>
      <c r="K7" s="302"/>
      <c r="L7" s="378"/>
      <c r="M7" s="362"/>
      <c r="N7" s="388"/>
      <c r="O7" s="384"/>
      <c r="P7" s="385"/>
      <c r="Q7" s="294"/>
      <c r="R7" s="362"/>
      <c r="S7" s="294"/>
      <c r="T7" s="294"/>
      <c r="U7" s="294"/>
      <c r="V7" s="294"/>
      <c r="W7" s="294"/>
      <c r="X7" s="345"/>
      <c r="Y7" s="345"/>
      <c r="Z7" s="345"/>
      <c r="AA7" s="345"/>
      <c r="AB7" s="291" t="s">
        <v>108</v>
      </c>
      <c r="AC7" s="291" t="s">
        <v>81</v>
      </c>
      <c r="AD7" s="291" t="s">
        <v>81</v>
      </c>
      <c r="AE7" s="286" t="s">
        <v>104</v>
      </c>
      <c r="AF7" s="393"/>
      <c r="AG7" s="395"/>
      <c r="AH7" s="362"/>
      <c r="AI7" s="345"/>
      <c r="AJ7" s="345"/>
      <c r="AK7" s="290"/>
      <c r="AL7" s="342"/>
      <c r="AM7" s="343"/>
      <c r="AN7" s="345"/>
      <c r="AO7" s="399"/>
      <c r="AP7" s="400"/>
      <c r="AQ7" s="400"/>
      <c r="AR7" s="400"/>
      <c r="AS7" s="400"/>
      <c r="AT7" s="400"/>
      <c r="AU7" s="400"/>
      <c r="AV7" s="400"/>
      <c r="AW7" s="400"/>
      <c r="AX7" s="400"/>
      <c r="AY7" s="400"/>
      <c r="AZ7" s="401"/>
    </row>
    <row r="8" spans="1:54" s="13" customFormat="1" ht="13.8" x14ac:dyDescent="0.25">
      <c r="A8" s="1" t="s">
        <v>19</v>
      </c>
      <c r="B8" s="2"/>
      <c r="C8" s="3" t="s">
        <v>70</v>
      </c>
      <c r="D8" s="4" t="s">
        <v>737</v>
      </c>
      <c r="E8" s="143" t="s">
        <v>646</v>
      </c>
      <c r="F8" s="14" t="s">
        <v>738</v>
      </c>
      <c r="G8" s="14" t="s">
        <v>739</v>
      </c>
      <c r="H8" s="208" t="s">
        <v>858</v>
      </c>
      <c r="I8" s="7">
        <f>K8*J8</f>
        <v>6468000</v>
      </c>
      <c r="J8" s="8">
        <v>6.16</v>
      </c>
      <c r="K8" s="9">
        <v>1050000</v>
      </c>
      <c r="L8" s="7">
        <v>1000000</v>
      </c>
      <c r="M8" s="7"/>
      <c r="N8" s="10">
        <v>44000000</v>
      </c>
      <c r="O8" s="7">
        <v>31</v>
      </c>
      <c r="P8" s="7"/>
      <c r="Q8" s="7"/>
      <c r="R8" s="7">
        <f>INT(N8*3/30)</f>
        <v>4400000</v>
      </c>
      <c r="S8" s="7"/>
      <c r="T8" s="7"/>
      <c r="U8" s="7"/>
      <c r="V8" s="7"/>
      <c r="W8" s="7"/>
      <c r="X8" s="7">
        <f>INT((I8+L8)*8%)</f>
        <v>597440</v>
      </c>
      <c r="Y8" s="7">
        <f>INT((I8+L8)*1.5%)</f>
        <v>112020</v>
      </c>
      <c r="Z8" s="7">
        <f>INT(I8*0.01)</f>
        <v>64680</v>
      </c>
      <c r="AA8" s="7">
        <f>INT(I8+L8)*0.01</f>
        <v>74680</v>
      </c>
      <c r="AB8" s="7">
        <v>9000000</v>
      </c>
      <c r="AC8" s="20"/>
      <c r="AD8" s="7">
        <f>AC8*3600000</f>
        <v>0</v>
      </c>
      <c r="AE8" s="7"/>
      <c r="AF8" s="7"/>
      <c r="AG8" s="147" t="s">
        <v>609</v>
      </c>
      <c r="AH8" s="7">
        <f t="shared" ref="AH8:AH24" si="0">R8-X8-Y8-Z8-AA8-AG8</f>
        <v>3551180</v>
      </c>
      <c r="AI8" s="7"/>
      <c r="AJ8" s="1" t="s">
        <v>19</v>
      </c>
      <c r="AK8" s="2"/>
      <c r="AL8" s="3" t="s">
        <v>70</v>
      </c>
      <c r="AM8" s="4" t="s">
        <v>737</v>
      </c>
      <c r="AN8" s="143" t="s">
        <v>646</v>
      </c>
      <c r="AO8" s="24"/>
      <c r="AP8" s="24"/>
      <c r="AQ8" s="24"/>
      <c r="AR8" s="24"/>
      <c r="AS8" s="24"/>
      <c r="AT8" s="24"/>
      <c r="AU8" s="24"/>
      <c r="AV8" s="24"/>
      <c r="AW8" s="24"/>
      <c r="AX8" s="12"/>
      <c r="AY8" s="12"/>
      <c r="AZ8" s="25"/>
    </row>
    <row r="9" spans="1:54" s="13" customFormat="1" ht="13.8" x14ac:dyDescent="0.25">
      <c r="A9" s="1" t="s">
        <v>20</v>
      </c>
      <c r="B9" s="29"/>
      <c r="C9" s="3" t="s">
        <v>482</v>
      </c>
      <c r="D9" s="4" t="s">
        <v>92</v>
      </c>
      <c r="E9" s="143" t="s">
        <v>598</v>
      </c>
      <c r="F9" s="14" t="s">
        <v>484</v>
      </c>
      <c r="G9" s="14" t="s">
        <v>483</v>
      </c>
      <c r="H9" s="208" t="s">
        <v>957</v>
      </c>
      <c r="I9" s="7">
        <f>K9*J9</f>
        <v>5680500</v>
      </c>
      <c r="J9" s="15">
        <v>5.41</v>
      </c>
      <c r="K9" s="9">
        <v>1050000</v>
      </c>
      <c r="L9" s="7">
        <v>500000</v>
      </c>
      <c r="M9" s="7"/>
      <c r="N9" s="10">
        <v>34100000</v>
      </c>
      <c r="O9" s="7">
        <v>31</v>
      </c>
      <c r="P9" s="7"/>
      <c r="Q9" s="7"/>
      <c r="R9" s="7">
        <f t="shared" ref="R9:R31" si="1">INT(N9*3/30)</f>
        <v>3410000</v>
      </c>
      <c r="S9" s="7"/>
      <c r="T9" s="7"/>
      <c r="U9" s="7"/>
      <c r="V9" s="7"/>
      <c r="W9" s="7"/>
      <c r="X9" s="7">
        <f>+INT((I9+L9)*8%)</f>
        <v>494440</v>
      </c>
      <c r="Y9" s="7">
        <f>INT((I9+L9)*1.5%)</f>
        <v>92707</v>
      </c>
      <c r="Z9" s="9">
        <f>INT(I9*1%)</f>
        <v>56805</v>
      </c>
      <c r="AA9" s="7">
        <f>INT(I9+L9)*0.01</f>
        <v>61805</v>
      </c>
      <c r="AB9" s="7">
        <v>9000000</v>
      </c>
      <c r="AC9" s="20"/>
      <c r="AD9" s="7">
        <f t="shared" ref="AD9:AD24" si="2">AC9*3600000</f>
        <v>0</v>
      </c>
      <c r="AE9" s="7"/>
      <c r="AF9" s="7"/>
      <c r="AG9" s="145" t="s">
        <v>609</v>
      </c>
      <c r="AH9" s="7">
        <f t="shared" si="0"/>
        <v>2704243</v>
      </c>
      <c r="AI9" s="5"/>
      <c r="AJ9" s="1" t="s">
        <v>20</v>
      </c>
      <c r="AK9" s="29"/>
      <c r="AL9" s="3" t="s">
        <v>482</v>
      </c>
      <c r="AM9" s="4" t="s">
        <v>92</v>
      </c>
      <c r="AN9" s="143" t="s">
        <v>598</v>
      </c>
      <c r="AO9" s="24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</row>
    <row r="10" spans="1:54" s="13" customFormat="1" x14ac:dyDescent="0.25">
      <c r="A10" s="1" t="s">
        <v>21</v>
      </c>
      <c r="B10" s="2"/>
      <c r="C10" s="3" t="s">
        <v>560</v>
      </c>
      <c r="D10" s="4" t="s">
        <v>112</v>
      </c>
      <c r="E10" s="5" t="s">
        <v>58</v>
      </c>
      <c r="F10" s="14" t="s">
        <v>562</v>
      </c>
      <c r="G10" s="14" t="s">
        <v>561</v>
      </c>
      <c r="H10" s="208" t="s">
        <v>1041</v>
      </c>
      <c r="I10" s="7">
        <f t="shared" ref="I10:I14" si="3">J10*K10</f>
        <v>5124000</v>
      </c>
      <c r="J10" s="15">
        <v>4.88</v>
      </c>
      <c r="K10" s="9">
        <v>1050000</v>
      </c>
      <c r="L10" s="7">
        <v>500000</v>
      </c>
      <c r="M10" s="7"/>
      <c r="N10" s="10">
        <v>20900000</v>
      </c>
      <c r="O10" s="7">
        <v>31</v>
      </c>
      <c r="P10" s="9"/>
      <c r="Q10" s="9"/>
      <c r="R10" s="7">
        <f t="shared" si="1"/>
        <v>2090000</v>
      </c>
      <c r="S10" s="7"/>
      <c r="T10" s="7"/>
      <c r="U10" s="7"/>
      <c r="V10" s="7"/>
      <c r="W10" s="7"/>
      <c r="X10" s="7">
        <f t="shared" ref="X10:X14" si="4">INT((I10+L10)*8%)</f>
        <v>449920</v>
      </c>
      <c r="Y10" s="7">
        <f t="shared" ref="Y10" si="5">INT((I10+L10)*1.5%)</f>
        <v>84360</v>
      </c>
      <c r="Z10" s="7">
        <f>INT((I10)*1%)</f>
        <v>51240</v>
      </c>
      <c r="AA10" s="7">
        <f>INT((I10+L10)*0.01)</f>
        <v>56240</v>
      </c>
      <c r="AB10" s="7">
        <v>9000000</v>
      </c>
      <c r="AC10" s="7">
        <v>2</v>
      </c>
      <c r="AD10" s="7">
        <f t="shared" si="2"/>
        <v>7200000</v>
      </c>
      <c r="AE10" s="7"/>
      <c r="AF10" s="7"/>
      <c r="AG10" s="147" t="s">
        <v>609</v>
      </c>
      <c r="AH10" s="7">
        <f t="shared" si="0"/>
        <v>1448240</v>
      </c>
      <c r="AI10" s="5"/>
      <c r="AJ10" s="1" t="s">
        <v>21</v>
      </c>
      <c r="AK10" s="2"/>
      <c r="AL10" s="3" t="s">
        <v>560</v>
      </c>
      <c r="AM10" s="4" t="s">
        <v>112</v>
      </c>
      <c r="AN10" s="5" t="s">
        <v>58</v>
      </c>
      <c r="AO10" s="24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</row>
    <row r="11" spans="1:54" s="13" customFormat="1" x14ac:dyDescent="0.25">
      <c r="A11" s="1" t="s">
        <v>22</v>
      </c>
      <c r="B11" s="2"/>
      <c r="C11" s="16" t="s">
        <v>158</v>
      </c>
      <c r="D11" s="22" t="s">
        <v>781</v>
      </c>
      <c r="E11" s="5" t="s">
        <v>187</v>
      </c>
      <c r="F11" s="6" t="s">
        <v>788</v>
      </c>
      <c r="G11" s="6">
        <v>151448025</v>
      </c>
      <c r="H11" s="207" t="s">
        <v>1176</v>
      </c>
      <c r="I11" s="7">
        <f t="shared" si="3"/>
        <v>4872000</v>
      </c>
      <c r="J11" s="15">
        <v>4.6399999999999997</v>
      </c>
      <c r="K11" s="9">
        <v>1050000</v>
      </c>
      <c r="L11" s="7">
        <v>500000</v>
      </c>
      <c r="M11" s="7"/>
      <c r="N11" s="10">
        <v>15400000</v>
      </c>
      <c r="O11" s="7">
        <v>31</v>
      </c>
      <c r="P11" s="7"/>
      <c r="Q11" s="7"/>
      <c r="R11" s="7">
        <f t="shared" si="1"/>
        <v>1540000</v>
      </c>
      <c r="S11" s="7"/>
      <c r="T11" s="7"/>
      <c r="U11" s="7"/>
      <c r="V11" s="7"/>
      <c r="W11" s="7"/>
      <c r="X11" s="7">
        <f t="shared" si="4"/>
        <v>429760</v>
      </c>
      <c r="Y11" s="7">
        <f>INT((I11+L11)*1.5%)</f>
        <v>80580</v>
      </c>
      <c r="Z11" s="7">
        <f>INT(I11*1%)</f>
        <v>48720</v>
      </c>
      <c r="AA11" s="19">
        <f t="shared" ref="AA11:AA14" si="6">INT((I11+L11)*0.01)</f>
        <v>53720</v>
      </c>
      <c r="AB11" s="7">
        <v>9000000</v>
      </c>
      <c r="AC11" s="7"/>
      <c r="AD11" s="7">
        <f t="shared" si="2"/>
        <v>0</v>
      </c>
      <c r="AE11" s="7"/>
      <c r="AF11" s="7"/>
      <c r="AG11" s="147" t="s">
        <v>609</v>
      </c>
      <c r="AH11" s="7">
        <f t="shared" si="0"/>
        <v>927220</v>
      </c>
      <c r="AI11" s="7"/>
      <c r="AJ11" s="1" t="s">
        <v>22</v>
      </c>
      <c r="AK11" s="2"/>
      <c r="AL11" s="16" t="s">
        <v>158</v>
      </c>
      <c r="AM11" s="22" t="s">
        <v>781</v>
      </c>
      <c r="AN11" s="5" t="s">
        <v>187</v>
      </c>
      <c r="AO11" s="24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</row>
    <row r="12" spans="1:54" s="13" customFormat="1" x14ac:dyDescent="0.25">
      <c r="A12" s="1" t="s">
        <v>23</v>
      </c>
      <c r="B12" s="2"/>
      <c r="C12" s="3" t="s">
        <v>170</v>
      </c>
      <c r="D12" s="4" t="s">
        <v>171</v>
      </c>
      <c r="E12" s="5" t="s">
        <v>128</v>
      </c>
      <c r="F12" s="14" t="s">
        <v>351</v>
      </c>
      <c r="G12" s="23" t="s">
        <v>352</v>
      </c>
      <c r="H12" s="204" t="s">
        <v>1077</v>
      </c>
      <c r="I12" s="7">
        <f t="shared" si="3"/>
        <v>4872000</v>
      </c>
      <c r="J12" s="18">
        <v>4.6399999999999997</v>
      </c>
      <c r="K12" s="7">
        <v>1050000</v>
      </c>
      <c r="L12" s="7"/>
      <c r="M12" s="7"/>
      <c r="N12" s="10">
        <v>15400000</v>
      </c>
      <c r="O12" s="7">
        <v>31</v>
      </c>
      <c r="P12" s="7"/>
      <c r="Q12" s="7"/>
      <c r="R12" s="7">
        <f t="shared" si="1"/>
        <v>1540000</v>
      </c>
      <c r="S12" s="7"/>
      <c r="T12" s="7"/>
      <c r="U12" s="7"/>
      <c r="V12" s="7"/>
      <c r="W12" s="7"/>
      <c r="X12" s="7">
        <f t="shared" si="4"/>
        <v>389760</v>
      </c>
      <c r="Y12" s="7">
        <f t="shared" ref="Y12:Y24" si="7">INT((I12+L12)*1.5%)</f>
        <v>73080</v>
      </c>
      <c r="Z12" s="7">
        <f>INT(I12*1%)</f>
        <v>48720</v>
      </c>
      <c r="AA12" s="19">
        <f t="shared" si="6"/>
        <v>48720</v>
      </c>
      <c r="AB12" s="7">
        <v>9000000</v>
      </c>
      <c r="AC12" s="97"/>
      <c r="AD12" s="7">
        <f t="shared" si="2"/>
        <v>0</v>
      </c>
      <c r="AE12" s="7"/>
      <c r="AF12" s="7"/>
      <c r="AG12" s="147" t="s">
        <v>609</v>
      </c>
      <c r="AH12" s="7">
        <f t="shared" si="0"/>
        <v>979720</v>
      </c>
      <c r="AI12" s="7"/>
      <c r="AJ12" s="1" t="s">
        <v>23</v>
      </c>
      <c r="AK12" s="2"/>
      <c r="AL12" s="3" t="s">
        <v>170</v>
      </c>
      <c r="AM12" s="4" t="s">
        <v>171</v>
      </c>
      <c r="AN12" s="5" t="s">
        <v>128</v>
      </c>
      <c r="AO12" s="24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</row>
    <row r="13" spans="1:54" s="13" customFormat="1" x14ac:dyDescent="0.25">
      <c r="A13" s="1" t="s">
        <v>24</v>
      </c>
      <c r="B13" s="2"/>
      <c r="C13" s="3" t="s">
        <v>186</v>
      </c>
      <c r="D13" s="4" t="s">
        <v>61</v>
      </c>
      <c r="E13" s="5" t="s">
        <v>172</v>
      </c>
      <c r="F13" s="14" t="s">
        <v>381</v>
      </c>
      <c r="G13" s="14" t="s">
        <v>382</v>
      </c>
      <c r="H13" s="208" t="s">
        <v>927</v>
      </c>
      <c r="I13" s="7">
        <f t="shared" si="3"/>
        <v>6037500</v>
      </c>
      <c r="J13" s="15">
        <v>5.75</v>
      </c>
      <c r="K13" s="9">
        <v>1050000</v>
      </c>
      <c r="L13" s="7">
        <v>1000000</v>
      </c>
      <c r="M13" s="7"/>
      <c r="N13" s="10">
        <v>37400000</v>
      </c>
      <c r="O13" s="7">
        <v>31</v>
      </c>
      <c r="P13" s="9"/>
      <c r="Q13" s="9"/>
      <c r="R13" s="7">
        <f t="shared" si="1"/>
        <v>3740000</v>
      </c>
      <c r="S13" s="7"/>
      <c r="T13" s="7"/>
      <c r="U13" s="7"/>
      <c r="V13" s="7"/>
      <c r="W13" s="7"/>
      <c r="X13" s="7">
        <f t="shared" si="4"/>
        <v>563000</v>
      </c>
      <c r="Y13" s="7">
        <f t="shared" si="7"/>
        <v>105562</v>
      </c>
      <c r="Z13" s="7">
        <f>INT(I13*1%)</f>
        <v>60375</v>
      </c>
      <c r="AA13" s="19">
        <f t="shared" si="6"/>
        <v>70375</v>
      </c>
      <c r="AB13" s="7">
        <v>9000000</v>
      </c>
      <c r="AC13" s="32">
        <v>4</v>
      </c>
      <c r="AD13" s="7">
        <f t="shared" si="2"/>
        <v>14400000</v>
      </c>
      <c r="AE13" s="7"/>
      <c r="AF13" s="7"/>
      <c r="AG13" s="147" t="s">
        <v>609</v>
      </c>
      <c r="AH13" s="7">
        <f t="shared" si="0"/>
        <v>2940688</v>
      </c>
      <c r="AI13" s="7"/>
      <c r="AJ13" s="1" t="s">
        <v>24</v>
      </c>
      <c r="AK13" s="2"/>
      <c r="AL13" s="3" t="s">
        <v>186</v>
      </c>
      <c r="AM13" s="4" t="s">
        <v>61</v>
      </c>
      <c r="AN13" s="5" t="s">
        <v>172</v>
      </c>
      <c r="AO13" s="24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</row>
    <row r="14" spans="1:54" s="13" customFormat="1" ht="26.4" x14ac:dyDescent="0.25">
      <c r="A14" s="1" t="s">
        <v>25</v>
      </c>
      <c r="B14" s="2"/>
      <c r="C14" s="16" t="s">
        <v>178</v>
      </c>
      <c r="D14" s="22" t="s">
        <v>182</v>
      </c>
      <c r="E14" s="143" t="s">
        <v>2154</v>
      </c>
      <c r="F14" s="14" t="s">
        <v>385</v>
      </c>
      <c r="G14" s="14" t="s">
        <v>386</v>
      </c>
      <c r="H14" s="208" t="s">
        <v>1480</v>
      </c>
      <c r="I14" s="7">
        <f t="shared" si="3"/>
        <v>5680500</v>
      </c>
      <c r="J14" s="8">
        <v>5.41</v>
      </c>
      <c r="K14" s="9">
        <v>1050000</v>
      </c>
      <c r="L14" s="7">
        <v>500000</v>
      </c>
      <c r="M14" s="7"/>
      <c r="N14" s="10">
        <v>37400000</v>
      </c>
      <c r="O14" s="7">
        <v>31</v>
      </c>
      <c r="P14" s="7"/>
      <c r="Q14" s="7"/>
      <c r="R14" s="7">
        <f>INT(N14*0.85*3/30)</f>
        <v>3179000</v>
      </c>
      <c r="S14" s="7"/>
      <c r="T14" s="7"/>
      <c r="U14" s="7"/>
      <c r="V14" s="7"/>
      <c r="W14" s="7"/>
      <c r="X14" s="7">
        <f t="shared" si="4"/>
        <v>494440</v>
      </c>
      <c r="Y14" s="7">
        <f t="shared" si="7"/>
        <v>92707</v>
      </c>
      <c r="Z14" s="7">
        <f>INT(I14*1%)</f>
        <v>56805</v>
      </c>
      <c r="AA14" s="19">
        <f t="shared" si="6"/>
        <v>61805</v>
      </c>
      <c r="AB14" s="7">
        <v>9000000</v>
      </c>
      <c r="AC14" s="7"/>
      <c r="AD14" s="7">
        <f t="shared" si="2"/>
        <v>0</v>
      </c>
      <c r="AE14" s="7"/>
      <c r="AF14" s="7"/>
      <c r="AG14" s="147" t="s">
        <v>609</v>
      </c>
      <c r="AH14" s="7">
        <f t="shared" si="0"/>
        <v>2473243</v>
      </c>
      <c r="AI14" s="7"/>
      <c r="AJ14" s="1" t="s">
        <v>25</v>
      </c>
      <c r="AK14" s="2"/>
      <c r="AL14" s="16" t="s">
        <v>178</v>
      </c>
      <c r="AM14" s="22" t="s">
        <v>182</v>
      </c>
      <c r="AN14" s="143" t="s">
        <v>2154</v>
      </c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</row>
    <row r="15" spans="1:54" s="13" customFormat="1" ht="13.8" x14ac:dyDescent="0.25">
      <c r="A15" s="1" t="s">
        <v>26</v>
      </c>
      <c r="B15" s="2"/>
      <c r="C15" s="3" t="s">
        <v>753</v>
      </c>
      <c r="D15" s="4" t="s">
        <v>147</v>
      </c>
      <c r="E15" s="5" t="s">
        <v>105</v>
      </c>
      <c r="F15" s="14" t="s">
        <v>754</v>
      </c>
      <c r="G15" s="23">
        <v>361623433</v>
      </c>
      <c r="H15" s="204" t="s">
        <v>825</v>
      </c>
      <c r="I15" s="7">
        <f>K15*J15</f>
        <v>5124000</v>
      </c>
      <c r="J15" s="15">
        <v>4.88</v>
      </c>
      <c r="K15" s="7">
        <v>1050000</v>
      </c>
      <c r="L15" s="7">
        <v>500000</v>
      </c>
      <c r="M15" s="7"/>
      <c r="N15" s="10">
        <v>20900000</v>
      </c>
      <c r="O15" s="7">
        <v>31</v>
      </c>
      <c r="P15" s="7"/>
      <c r="Q15" s="7"/>
      <c r="R15" s="7">
        <f t="shared" si="1"/>
        <v>2090000</v>
      </c>
      <c r="S15" s="7"/>
      <c r="T15" s="7"/>
      <c r="U15" s="7"/>
      <c r="V15" s="7"/>
      <c r="W15" s="7"/>
      <c r="X15" s="26">
        <f t="shared" ref="X15:X19" si="8">+INT((I15+L15)*8%)</f>
        <v>449920</v>
      </c>
      <c r="Y15" s="7">
        <f>INT((I15+L15)*1.5%)</f>
        <v>84360</v>
      </c>
      <c r="Z15" s="7">
        <f>INT((I15)*1%)</f>
        <v>51240</v>
      </c>
      <c r="AA15" s="19">
        <f>INT((I15+L15)*0.01)</f>
        <v>56240</v>
      </c>
      <c r="AB15" s="19">
        <v>9000000</v>
      </c>
      <c r="AC15" s="20"/>
      <c r="AD15" s="19">
        <f t="shared" si="2"/>
        <v>0</v>
      </c>
      <c r="AE15" s="7"/>
      <c r="AF15" s="7"/>
      <c r="AG15" s="145" t="s">
        <v>609</v>
      </c>
      <c r="AH15" s="7">
        <f t="shared" si="0"/>
        <v>1448240</v>
      </c>
      <c r="AI15" s="7"/>
      <c r="AJ15" s="1" t="s">
        <v>26</v>
      </c>
      <c r="AK15" s="2"/>
      <c r="AL15" s="3" t="s">
        <v>753</v>
      </c>
      <c r="AM15" s="4" t="s">
        <v>147</v>
      </c>
      <c r="AN15" s="5" t="s">
        <v>105</v>
      </c>
      <c r="AO15" s="11"/>
      <c r="BA15" s="12"/>
      <c r="BB15" s="12"/>
    </row>
    <row r="16" spans="1:54" s="13" customFormat="1" ht="13.8" x14ac:dyDescent="0.25">
      <c r="A16" s="1" t="s">
        <v>27</v>
      </c>
      <c r="B16" s="2"/>
      <c r="C16" s="162" t="s">
        <v>93</v>
      </c>
      <c r="D16" s="182" t="s">
        <v>102</v>
      </c>
      <c r="E16" s="5" t="s">
        <v>106</v>
      </c>
      <c r="F16" s="157" t="s">
        <v>314</v>
      </c>
      <c r="G16" s="157" t="s">
        <v>315</v>
      </c>
      <c r="H16" s="204" t="s">
        <v>1474</v>
      </c>
      <c r="I16" s="7">
        <f>K16*J16</f>
        <v>4872000</v>
      </c>
      <c r="J16" s="18">
        <v>4.6399999999999997</v>
      </c>
      <c r="K16" s="7">
        <v>1050000</v>
      </c>
      <c r="L16" s="7">
        <v>500000</v>
      </c>
      <c r="M16" s="7"/>
      <c r="N16" s="10">
        <v>15400000</v>
      </c>
      <c r="O16" s="7">
        <v>31</v>
      </c>
      <c r="P16" s="7"/>
      <c r="Q16" s="7"/>
      <c r="R16" s="7">
        <f t="shared" si="1"/>
        <v>1540000</v>
      </c>
      <c r="S16" s="7"/>
      <c r="T16" s="7"/>
      <c r="U16" s="7"/>
      <c r="V16" s="7"/>
      <c r="W16" s="7"/>
      <c r="X16" s="26">
        <f t="shared" si="8"/>
        <v>429760</v>
      </c>
      <c r="Y16" s="7">
        <f t="shared" si="7"/>
        <v>80580</v>
      </c>
      <c r="Z16" s="7">
        <f>INT(I16*0.01)</f>
        <v>48720</v>
      </c>
      <c r="AA16" s="7">
        <f>INT((I16+L16)*1%)</f>
        <v>53720</v>
      </c>
      <c r="AB16" s="19">
        <v>9000000</v>
      </c>
      <c r="AC16" s="20"/>
      <c r="AD16" s="19">
        <f t="shared" si="2"/>
        <v>0</v>
      </c>
      <c r="AE16" s="7"/>
      <c r="AF16" s="7"/>
      <c r="AG16" s="145" t="s">
        <v>609</v>
      </c>
      <c r="AH16" s="7">
        <f t="shared" si="0"/>
        <v>927220</v>
      </c>
      <c r="AI16" s="7"/>
      <c r="AJ16" s="1" t="s">
        <v>27</v>
      </c>
      <c r="AK16" s="2"/>
      <c r="AL16" s="162" t="s">
        <v>93</v>
      </c>
      <c r="AM16" s="182" t="s">
        <v>102</v>
      </c>
      <c r="AN16" s="5" t="s">
        <v>106</v>
      </c>
      <c r="AO16" s="11"/>
      <c r="BA16" s="12"/>
      <c r="BB16" s="12"/>
    </row>
    <row r="17" spans="1:55" s="13" customFormat="1" ht="26.4" x14ac:dyDescent="0.25">
      <c r="A17" s="1" t="s">
        <v>28</v>
      </c>
      <c r="B17" s="2"/>
      <c r="C17" s="16" t="s">
        <v>2158</v>
      </c>
      <c r="D17" s="17" t="s">
        <v>798</v>
      </c>
      <c r="E17" s="143" t="s">
        <v>2159</v>
      </c>
      <c r="F17" s="14"/>
      <c r="G17" s="23"/>
      <c r="H17" s="208" t="s">
        <v>2160</v>
      </c>
      <c r="I17" s="7">
        <f t="shared" ref="I17" si="9">K17*J17</f>
        <v>4872000</v>
      </c>
      <c r="J17" s="8">
        <v>4.6399999999999997</v>
      </c>
      <c r="K17" s="7">
        <v>1050000</v>
      </c>
      <c r="L17" s="7">
        <v>500000</v>
      </c>
      <c r="M17" s="7"/>
      <c r="N17" s="10">
        <v>15400000</v>
      </c>
      <c r="O17" s="7">
        <v>31</v>
      </c>
      <c r="P17" s="7"/>
      <c r="Q17" s="7"/>
      <c r="R17" s="7">
        <f>INT(N17*0.85*3/30)</f>
        <v>1309000</v>
      </c>
      <c r="S17" s="7"/>
      <c r="T17" s="7"/>
      <c r="U17" s="7"/>
      <c r="V17" s="7"/>
      <c r="W17" s="7"/>
      <c r="X17" s="26">
        <f t="shared" si="8"/>
        <v>429760</v>
      </c>
      <c r="Y17" s="7">
        <f t="shared" si="7"/>
        <v>80580</v>
      </c>
      <c r="Z17" s="7">
        <f>INT(I17*0.01)</f>
        <v>48720</v>
      </c>
      <c r="AA17" s="7">
        <f>INT((I17+L17)*1%)</f>
        <v>53720</v>
      </c>
      <c r="AB17" s="19">
        <v>9000000</v>
      </c>
      <c r="AC17" s="7"/>
      <c r="AD17" s="19">
        <f t="shared" si="2"/>
        <v>0</v>
      </c>
      <c r="AE17" s="7"/>
      <c r="AF17" s="7"/>
      <c r="AG17" s="145" t="s">
        <v>609</v>
      </c>
      <c r="AH17" s="7">
        <f t="shared" si="0"/>
        <v>696220</v>
      </c>
      <c r="AI17" s="7"/>
      <c r="AJ17" s="1" t="s">
        <v>28</v>
      </c>
      <c r="AK17" s="2"/>
      <c r="AL17" s="16" t="s">
        <v>2158</v>
      </c>
      <c r="AM17" s="17" t="s">
        <v>798</v>
      </c>
      <c r="AN17" s="143" t="s">
        <v>2159</v>
      </c>
      <c r="AO17" s="24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</row>
    <row r="18" spans="1:55" s="13" customFormat="1" ht="18" customHeight="1" x14ac:dyDescent="0.25">
      <c r="A18" s="1" t="s">
        <v>30</v>
      </c>
      <c r="B18" s="2"/>
      <c r="C18" s="3" t="s">
        <v>146</v>
      </c>
      <c r="D18" s="4" t="s">
        <v>175</v>
      </c>
      <c r="E18" s="5" t="s">
        <v>78</v>
      </c>
      <c r="F18" s="14" t="s">
        <v>657</v>
      </c>
      <c r="G18" s="14" t="s">
        <v>658</v>
      </c>
      <c r="H18" s="208" t="s">
        <v>1347</v>
      </c>
      <c r="I18" s="7">
        <v>4000000</v>
      </c>
      <c r="J18" s="8">
        <v>3.49</v>
      </c>
      <c r="K18" s="9">
        <v>1050000</v>
      </c>
      <c r="L18" s="7"/>
      <c r="M18" s="7"/>
      <c r="N18" s="10">
        <v>12650000</v>
      </c>
      <c r="O18" s="7">
        <v>31</v>
      </c>
      <c r="P18" s="9"/>
      <c r="Q18" s="9"/>
      <c r="R18" s="7">
        <f t="shared" si="1"/>
        <v>1265000</v>
      </c>
      <c r="S18" s="7"/>
      <c r="T18" s="7"/>
      <c r="U18" s="7"/>
      <c r="V18" s="7"/>
      <c r="W18" s="7"/>
      <c r="X18" s="7">
        <f t="shared" si="8"/>
        <v>320000</v>
      </c>
      <c r="Y18" s="7">
        <f>INT((I18+L18)*1.5%)</f>
        <v>60000</v>
      </c>
      <c r="Z18" s="7">
        <f>INT(I18*1%)</f>
        <v>40000</v>
      </c>
      <c r="AA18" s="19">
        <f>INT((I18+L18)*0.01)</f>
        <v>40000</v>
      </c>
      <c r="AB18" s="7">
        <v>9000000</v>
      </c>
      <c r="AC18" s="32"/>
      <c r="AD18" s="7">
        <f t="shared" si="2"/>
        <v>0</v>
      </c>
      <c r="AE18" s="7"/>
      <c r="AF18" s="7"/>
      <c r="AG18" s="145" t="s">
        <v>609</v>
      </c>
      <c r="AH18" s="7">
        <f t="shared" si="0"/>
        <v>805000</v>
      </c>
      <c r="AI18" s="5"/>
      <c r="AJ18" s="1" t="s">
        <v>30</v>
      </c>
      <c r="AK18" s="2"/>
      <c r="AL18" s="3" t="s">
        <v>146</v>
      </c>
      <c r="AM18" s="4" t="s">
        <v>175</v>
      </c>
      <c r="AN18" s="5" t="s">
        <v>78</v>
      </c>
      <c r="AO18" s="24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</row>
    <row r="19" spans="1:55" s="13" customFormat="1" ht="18" customHeight="1" x14ac:dyDescent="0.25">
      <c r="A19" s="1" t="s">
        <v>32</v>
      </c>
      <c r="B19" s="2"/>
      <c r="C19" s="3" t="s">
        <v>103</v>
      </c>
      <c r="D19" s="4" t="s">
        <v>77</v>
      </c>
      <c r="E19" s="5" t="s">
        <v>90</v>
      </c>
      <c r="F19" s="6" t="s">
        <v>266</v>
      </c>
      <c r="G19" s="157" t="s">
        <v>267</v>
      </c>
      <c r="H19" s="253" t="s">
        <v>843</v>
      </c>
      <c r="I19" s="7">
        <v>4000000</v>
      </c>
      <c r="J19" s="18">
        <v>3.49</v>
      </c>
      <c r="K19" s="9">
        <v>1050000</v>
      </c>
      <c r="L19" s="19">
        <v>0</v>
      </c>
      <c r="M19" s="7"/>
      <c r="N19" s="10">
        <v>11000000</v>
      </c>
      <c r="O19" s="7">
        <v>31</v>
      </c>
      <c r="P19" s="9"/>
      <c r="Q19" s="9"/>
      <c r="R19" s="7">
        <f t="shared" si="1"/>
        <v>1100000</v>
      </c>
      <c r="S19" s="7"/>
      <c r="T19" s="7"/>
      <c r="U19" s="7"/>
      <c r="V19" s="7"/>
      <c r="W19" s="7"/>
      <c r="X19" s="7">
        <f t="shared" si="8"/>
        <v>320000</v>
      </c>
      <c r="Y19" s="7">
        <f>INT((I19+L19)*1.5%)</f>
        <v>60000</v>
      </c>
      <c r="Z19" s="7">
        <f>INT(I19*1%)</f>
        <v>40000</v>
      </c>
      <c r="AA19" s="19">
        <f>INT((I19+L19)*0.01)</f>
        <v>40000</v>
      </c>
      <c r="AB19" s="7">
        <v>9000000</v>
      </c>
      <c r="AC19" s="32"/>
      <c r="AD19" s="7">
        <f t="shared" si="2"/>
        <v>0</v>
      </c>
      <c r="AE19" s="7"/>
      <c r="AF19" s="7"/>
      <c r="AG19" s="145" t="s">
        <v>609</v>
      </c>
      <c r="AH19" s="7">
        <f>R19-X19-Y19-Z19-AA19-AG19</f>
        <v>640000</v>
      </c>
      <c r="AI19" s="21"/>
      <c r="AJ19" s="1" t="s">
        <v>32</v>
      </c>
      <c r="AK19" s="2"/>
      <c r="AL19" s="3" t="s">
        <v>103</v>
      </c>
      <c r="AM19" s="4" t="s">
        <v>77</v>
      </c>
      <c r="AN19" s="5" t="s">
        <v>90</v>
      </c>
      <c r="AO19" s="11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</row>
    <row r="20" spans="1:55" s="13" customFormat="1" ht="18" customHeight="1" x14ac:dyDescent="0.25">
      <c r="A20" s="1" t="s">
        <v>29</v>
      </c>
      <c r="B20" s="2"/>
      <c r="C20" s="3" t="s">
        <v>76</v>
      </c>
      <c r="D20" s="4" t="s">
        <v>122</v>
      </c>
      <c r="E20" s="5" t="s">
        <v>90</v>
      </c>
      <c r="F20" s="14" t="s">
        <v>264</v>
      </c>
      <c r="G20" s="23" t="s">
        <v>265</v>
      </c>
      <c r="H20" s="204" t="s">
        <v>1164</v>
      </c>
      <c r="I20" s="7">
        <v>4000000</v>
      </c>
      <c r="J20" s="15">
        <v>3.49</v>
      </c>
      <c r="K20" s="7">
        <v>1050000</v>
      </c>
      <c r="L20" s="7">
        <v>0</v>
      </c>
      <c r="M20" s="7"/>
      <c r="N20" s="10">
        <v>11000000</v>
      </c>
      <c r="O20" s="7">
        <v>31</v>
      </c>
      <c r="P20" s="7"/>
      <c r="Q20" s="7"/>
      <c r="R20" s="7">
        <f t="shared" si="1"/>
        <v>1100000</v>
      </c>
      <c r="S20" s="7"/>
      <c r="T20" s="7"/>
      <c r="U20" s="7"/>
      <c r="V20" s="7"/>
      <c r="W20" s="7"/>
      <c r="X20" s="7">
        <f t="shared" ref="X20:X24" si="10">INT((I20+L20)*8%)</f>
        <v>320000</v>
      </c>
      <c r="Y20" s="7">
        <f t="shared" ref="Y20" si="11">INT((I20+L20)*1.5%)</f>
        <v>60000</v>
      </c>
      <c r="Z20" s="7">
        <f t="shared" ref="Z20" si="12">INT(I20*1%)</f>
        <v>40000</v>
      </c>
      <c r="AA20" s="19">
        <f t="shared" ref="AA20" si="13">INT((I20+L20)*0.01)</f>
        <v>40000</v>
      </c>
      <c r="AB20" s="7">
        <v>9000000</v>
      </c>
      <c r="AC20" s="20"/>
      <c r="AD20" s="7">
        <f t="shared" si="2"/>
        <v>0</v>
      </c>
      <c r="AE20" s="7"/>
      <c r="AF20" s="7"/>
      <c r="AG20" s="147" t="s">
        <v>609</v>
      </c>
      <c r="AH20" s="7">
        <f t="shared" ref="AH20" si="14">R20-X20-Y20-Z20-AA20-AG20</f>
        <v>640000</v>
      </c>
      <c r="AI20" s="5"/>
      <c r="AJ20" s="1" t="s">
        <v>29</v>
      </c>
      <c r="AK20" s="2"/>
      <c r="AL20" s="3" t="s">
        <v>76</v>
      </c>
      <c r="AM20" s="4" t="s">
        <v>122</v>
      </c>
      <c r="AN20" s="5" t="s">
        <v>90</v>
      </c>
      <c r="AO20" s="24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</row>
    <row r="21" spans="1:55" s="13" customFormat="1" ht="18" customHeight="1" x14ac:dyDescent="0.25">
      <c r="A21" s="1" t="s">
        <v>31</v>
      </c>
      <c r="B21" s="2"/>
      <c r="C21" s="16" t="s">
        <v>185</v>
      </c>
      <c r="D21" s="17" t="s">
        <v>102</v>
      </c>
      <c r="E21" s="5" t="s">
        <v>107</v>
      </c>
      <c r="F21" s="6" t="s">
        <v>703</v>
      </c>
      <c r="G21" s="6" t="s">
        <v>702</v>
      </c>
      <c r="H21" s="207" t="s">
        <v>912</v>
      </c>
      <c r="I21" s="7">
        <v>4000000</v>
      </c>
      <c r="J21" s="18">
        <v>3.25</v>
      </c>
      <c r="K21" s="9">
        <v>1050000</v>
      </c>
      <c r="L21" s="19"/>
      <c r="M21" s="7"/>
      <c r="N21" s="10">
        <v>9900000</v>
      </c>
      <c r="O21" s="7">
        <v>31</v>
      </c>
      <c r="P21" s="7"/>
      <c r="Q21" s="7"/>
      <c r="R21" s="7">
        <f t="shared" si="1"/>
        <v>990000</v>
      </c>
      <c r="S21" s="7"/>
      <c r="T21" s="7"/>
      <c r="U21" s="7"/>
      <c r="V21" s="7"/>
      <c r="W21" s="7"/>
      <c r="X21" s="7">
        <f t="shared" si="10"/>
        <v>320000</v>
      </c>
      <c r="Y21" s="7">
        <f t="shared" si="7"/>
        <v>60000</v>
      </c>
      <c r="Z21" s="7">
        <f>INT((I21)*1%)</f>
        <v>40000</v>
      </c>
      <c r="AA21" s="19">
        <f>INT((I21+L21)*0.01)</f>
        <v>40000</v>
      </c>
      <c r="AB21" s="7">
        <v>9000000</v>
      </c>
      <c r="AC21" s="7"/>
      <c r="AD21" s="7">
        <f t="shared" si="2"/>
        <v>0</v>
      </c>
      <c r="AE21" s="7"/>
      <c r="AF21" s="7"/>
      <c r="AG21" s="147" t="s">
        <v>609</v>
      </c>
      <c r="AH21" s="7">
        <f t="shared" si="0"/>
        <v>530000</v>
      </c>
      <c r="AI21" s="21"/>
      <c r="AJ21" s="1" t="s">
        <v>31</v>
      </c>
      <c r="AK21" s="2"/>
      <c r="AL21" s="16" t="s">
        <v>185</v>
      </c>
      <c r="AM21" s="17" t="s">
        <v>102</v>
      </c>
      <c r="AN21" s="5" t="s">
        <v>107</v>
      </c>
      <c r="AO21" s="11"/>
      <c r="AP21" s="24"/>
      <c r="AQ21" s="24"/>
      <c r="AR21" s="24"/>
      <c r="AS21" s="24"/>
      <c r="AT21" s="24"/>
      <c r="AU21" s="24"/>
      <c r="AV21" s="24"/>
      <c r="AW21" s="24"/>
      <c r="AX21" s="12"/>
      <c r="AY21" s="12"/>
      <c r="AZ21" s="12"/>
      <c r="BA21" s="12"/>
    </row>
    <row r="22" spans="1:55" s="13" customFormat="1" ht="18.899999999999999" customHeight="1" x14ac:dyDescent="0.25">
      <c r="A22" s="1" t="s">
        <v>35</v>
      </c>
      <c r="B22" s="2"/>
      <c r="C22" s="3" t="s">
        <v>103</v>
      </c>
      <c r="D22" s="4" t="s">
        <v>155</v>
      </c>
      <c r="E22" s="5" t="s">
        <v>107</v>
      </c>
      <c r="F22" s="14" t="s">
        <v>667</v>
      </c>
      <c r="G22" s="14" t="s">
        <v>668</v>
      </c>
      <c r="H22" s="208" t="s">
        <v>900</v>
      </c>
      <c r="I22" s="7">
        <v>4000000</v>
      </c>
      <c r="J22" s="8">
        <v>3.25</v>
      </c>
      <c r="K22" s="7">
        <v>1050000</v>
      </c>
      <c r="L22" s="19"/>
      <c r="M22" s="7"/>
      <c r="N22" s="10">
        <v>9900000</v>
      </c>
      <c r="O22" s="7">
        <v>31</v>
      </c>
      <c r="P22" s="7"/>
      <c r="Q22" s="7"/>
      <c r="R22" s="7">
        <f t="shared" si="1"/>
        <v>990000</v>
      </c>
      <c r="S22" s="7"/>
      <c r="T22" s="7"/>
      <c r="U22" s="7"/>
      <c r="V22" s="7"/>
      <c r="W22" s="7"/>
      <c r="X22" s="7">
        <f t="shared" si="10"/>
        <v>320000</v>
      </c>
      <c r="Y22" s="7">
        <f t="shared" si="7"/>
        <v>60000</v>
      </c>
      <c r="Z22" s="7">
        <f>INT(I22*1%)</f>
        <v>40000</v>
      </c>
      <c r="AA22" s="19">
        <f>INT((I22+L22)*0.01)</f>
        <v>40000</v>
      </c>
      <c r="AB22" s="7">
        <v>9000000</v>
      </c>
      <c r="AC22" s="7"/>
      <c r="AD22" s="7">
        <f t="shared" si="2"/>
        <v>0</v>
      </c>
      <c r="AE22" s="7"/>
      <c r="AF22" s="7"/>
      <c r="AG22" s="147" t="s">
        <v>609</v>
      </c>
      <c r="AH22" s="7">
        <f t="shared" si="0"/>
        <v>530000</v>
      </c>
      <c r="AI22" s="7"/>
      <c r="AJ22" s="1" t="s">
        <v>35</v>
      </c>
      <c r="AK22" s="2"/>
      <c r="AL22" s="3" t="s">
        <v>103</v>
      </c>
      <c r="AM22" s="4" t="s">
        <v>155</v>
      </c>
      <c r="AN22" s="5" t="s">
        <v>107</v>
      </c>
      <c r="AO22" s="11"/>
    </row>
    <row r="23" spans="1:55" s="13" customFormat="1" ht="18" customHeight="1" x14ac:dyDescent="0.25">
      <c r="A23" s="1" t="s">
        <v>33</v>
      </c>
      <c r="B23" s="2"/>
      <c r="C23" s="3" t="s">
        <v>471</v>
      </c>
      <c r="D23" s="4" t="s">
        <v>474</v>
      </c>
      <c r="E23" s="5" t="s">
        <v>107</v>
      </c>
      <c r="F23" s="23" t="s">
        <v>472</v>
      </c>
      <c r="G23" s="14" t="s">
        <v>473</v>
      </c>
      <c r="H23" s="208" t="s">
        <v>879</v>
      </c>
      <c r="I23" s="7">
        <v>4000000</v>
      </c>
      <c r="J23" s="8">
        <v>3.25</v>
      </c>
      <c r="K23" s="7">
        <v>1050000</v>
      </c>
      <c r="L23" s="19"/>
      <c r="M23" s="7"/>
      <c r="N23" s="10">
        <v>9900000</v>
      </c>
      <c r="O23" s="7">
        <v>31</v>
      </c>
      <c r="P23" s="7"/>
      <c r="Q23" s="7"/>
      <c r="R23" s="7">
        <f t="shared" si="1"/>
        <v>990000</v>
      </c>
      <c r="S23" s="7"/>
      <c r="T23" s="7"/>
      <c r="U23" s="7"/>
      <c r="V23" s="7"/>
      <c r="W23" s="7"/>
      <c r="X23" s="26">
        <f t="shared" si="10"/>
        <v>320000</v>
      </c>
      <c r="Y23" s="7">
        <f t="shared" si="7"/>
        <v>60000</v>
      </c>
      <c r="Z23" s="7">
        <f>INT(I23*0.01)</f>
        <v>40000</v>
      </c>
      <c r="AA23" s="7">
        <f>INT(I23+L23)*0.01</f>
        <v>40000</v>
      </c>
      <c r="AB23" s="7">
        <v>9000000</v>
      </c>
      <c r="AC23" s="7">
        <v>1</v>
      </c>
      <c r="AD23" s="7">
        <f t="shared" si="2"/>
        <v>3600000</v>
      </c>
      <c r="AE23" s="7"/>
      <c r="AF23" s="7"/>
      <c r="AG23" s="147" t="s">
        <v>609</v>
      </c>
      <c r="AH23" s="7">
        <f t="shared" si="0"/>
        <v>530000</v>
      </c>
      <c r="AI23" s="21"/>
      <c r="AJ23" s="1" t="s">
        <v>33</v>
      </c>
      <c r="AK23" s="2"/>
      <c r="AL23" s="3" t="s">
        <v>471</v>
      </c>
      <c r="AM23" s="4" t="s">
        <v>474</v>
      </c>
      <c r="AN23" s="5" t="s">
        <v>107</v>
      </c>
      <c r="AO23" s="24"/>
    </row>
    <row r="24" spans="1:55" s="13" customFormat="1" ht="18.75" customHeight="1" x14ac:dyDescent="0.25">
      <c r="A24" s="1" t="s">
        <v>34</v>
      </c>
      <c r="B24" s="2"/>
      <c r="C24" s="3" t="s">
        <v>2</v>
      </c>
      <c r="D24" s="4" t="s">
        <v>45</v>
      </c>
      <c r="E24" s="5" t="s">
        <v>94</v>
      </c>
      <c r="F24" s="14" t="s">
        <v>398</v>
      </c>
      <c r="G24" s="14" t="s">
        <v>399</v>
      </c>
      <c r="H24" s="208" t="s">
        <v>855</v>
      </c>
      <c r="I24" s="7">
        <f>J24*K24</f>
        <v>4588500</v>
      </c>
      <c r="J24" s="15">
        <v>4.37</v>
      </c>
      <c r="K24" s="9">
        <v>1050000</v>
      </c>
      <c r="L24" s="7"/>
      <c r="M24" s="7"/>
      <c r="N24" s="10">
        <v>12650000</v>
      </c>
      <c r="O24" s="7">
        <v>31</v>
      </c>
      <c r="P24" s="7"/>
      <c r="Q24" s="7"/>
      <c r="R24" s="7">
        <f t="shared" si="1"/>
        <v>1265000</v>
      </c>
      <c r="S24" s="7"/>
      <c r="T24" s="7"/>
      <c r="U24" s="7"/>
      <c r="V24" s="7"/>
      <c r="W24" s="7"/>
      <c r="X24" s="7">
        <f t="shared" si="10"/>
        <v>367080</v>
      </c>
      <c r="Y24" s="7">
        <f t="shared" si="7"/>
        <v>68827</v>
      </c>
      <c r="Z24" s="7">
        <f>INT((I24)*1%)</f>
        <v>45885</v>
      </c>
      <c r="AA24" s="19">
        <f t="shared" ref="AA24" si="15">INT((I24+L24)*0.01)</f>
        <v>45885</v>
      </c>
      <c r="AB24" s="7">
        <v>9000000</v>
      </c>
      <c r="AC24" s="7"/>
      <c r="AD24" s="7">
        <f t="shared" si="2"/>
        <v>0</v>
      </c>
      <c r="AE24" s="7"/>
      <c r="AF24" s="7"/>
      <c r="AG24" s="147" t="s">
        <v>609</v>
      </c>
      <c r="AH24" s="7">
        <f t="shared" si="0"/>
        <v>737323</v>
      </c>
      <c r="AI24" s="7"/>
      <c r="AJ24" s="1" t="s">
        <v>34</v>
      </c>
      <c r="AK24" s="2"/>
      <c r="AL24" s="3" t="s">
        <v>2</v>
      </c>
      <c r="AM24" s="4" t="s">
        <v>45</v>
      </c>
      <c r="AN24" s="5" t="s">
        <v>94</v>
      </c>
      <c r="AO24" s="24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</row>
    <row r="25" spans="1:55" s="13" customFormat="1" ht="18" customHeight="1" x14ac:dyDescent="0.25">
      <c r="A25" s="1" t="s">
        <v>38</v>
      </c>
      <c r="B25" s="2"/>
      <c r="C25" s="3" t="s">
        <v>2152</v>
      </c>
      <c r="D25" s="4" t="s">
        <v>416</v>
      </c>
      <c r="E25" s="5" t="s">
        <v>80</v>
      </c>
      <c r="F25" s="14"/>
      <c r="G25" s="23"/>
      <c r="H25" s="204" t="s">
        <v>2153</v>
      </c>
      <c r="I25" s="7">
        <f>K25*J25</f>
        <v>4588500</v>
      </c>
      <c r="J25" s="15">
        <v>4.37</v>
      </c>
      <c r="K25" s="9">
        <v>1050000</v>
      </c>
      <c r="L25" s="7">
        <v>0</v>
      </c>
      <c r="M25" s="7"/>
      <c r="N25" s="10">
        <v>9900000</v>
      </c>
      <c r="O25" s="7">
        <v>31</v>
      </c>
      <c r="P25" s="9"/>
      <c r="Q25" s="9"/>
      <c r="R25" s="7">
        <f t="shared" si="1"/>
        <v>990000</v>
      </c>
      <c r="S25" s="7"/>
      <c r="T25" s="7"/>
      <c r="U25" s="7"/>
      <c r="V25" s="7"/>
      <c r="W25" s="7"/>
      <c r="X25" s="26">
        <f>+INT((I25+L25)*8%)</f>
        <v>367080</v>
      </c>
      <c r="Y25" s="7">
        <f>INT((I25+L25)*1.5%)</f>
        <v>68827</v>
      </c>
      <c r="Z25" s="7">
        <f>INT(I25*0.01)</f>
        <v>45885</v>
      </c>
      <c r="AA25" s="19">
        <f>INT((I25+L25)*0.01)</f>
        <v>45885</v>
      </c>
      <c r="AB25" s="19">
        <v>9000000</v>
      </c>
      <c r="AC25" s="20"/>
      <c r="AD25" s="19">
        <f>AC25*3600000</f>
        <v>0</v>
      </c>
      <c r="AE25" s="7"/>
      <c r="AF25" s="7"/>
      <c r="AG25" s="145" t="s">
        <v>609</v>
      </c>
      <c r="AH25" s="7">
        <f>R25-X25-Y25-Z25-AA25-AG25</f>
        <v>462323</v>
      </c>
      <c r="AI25" s="5"/>
      <c r="AJ25" s="1" t="s">
        <v>38</v>
      </c>
      <c r="AK25" s="2"/>
      <c r="AL25" s="3" t="s">
        <v>2152</v>
      </c>
      <c r="AM25" s="4" t="s">
        <v>416</v>
      </c>
      <c r="AN25" s="5" t="s">
        <v>80</v>
      </c>
      <c r="AO25" s="11"/>
      <c r="AP25" s="24"/>
      <c r="AQ25" s="24"/>
      <c r="AR25" s="24"/>
      <c r="AS25" s="24"/>
      <c r="AT25" s="24"/>
      <c r="AU25" s="24"/>
      <c r="AV25" s="24"/>
      <c r="AW25" s="24"/>
      <c r="AX25" s="12"/>
      <c r="AY25" s="12"/>
      <c r="AZ25" s="12"/>
      <c r="BA25" s="12"/>
    </row>
    <row r="26" spans="1:55" s="13" customFormat="1" ht="18" customHeight="1" x14ac:dyDescent="0.25">
      <c r="A26" s="1" t="s">
        <v>40</v>
      </c>
      <c r="B26" s="2"/>
      <c r="C26" s="16" t="s">
        <v>690</v>
      </c>
      <c r="D26" s="22" t="s">
        <v>51</v>
      </c>
      <c r="E26" s="5" t="s">
        <v>80</v>
      </c>
      <c r="F26" s="14" t="s">
        <v>692</v>
      </c>
      <c r="G26" s="14" t="s">
        <v>691</v>
      </c>
      <c r="H26" s="208" t="s">
        <v>1515</v>
      </c>
      <c r="I26" s="7">
        <v>4000000</v>
      </c>
      <c r="J26" s="15"/>
      <c r="K26" s="9"/>
      <c r="L26" s="7"/>
      <c r="M26" s="7"/>
      <c r="N26" s="10">
        <v>9900000</v>
      </c>
      <c r="O26" s="7">
        <v>31</v>
      </c>
      <c r="P26" s="7"/>
      <c r="Q26" s="7"/>
      <c r="R26" s="7">
        <f t="shared" si="1"/>
        <v>990000</v>
      </c>
      <c r="S26" s="7"/>
      <c r="T26" s="7"/>
      <c r="U26" s="7"/>
      <c r="V26" s="7"/>
      <c r="W26" s="7"/>
      <c r="X26" s="7">
        <f t="shared" ref="X26:X27" si="16">+INT((I26+L26)*8%)</f>
        <v>320000</v>
      </c>
      <c r="Y26" s="7">
        <f t="shared" ref="Y26:Y30" si="17">INT((I26+L26)*1.5%)</f>
        <v>60000</v>
      </c>
      <c r="Z26" s="7">
        <f t="shared" ref="Z26:Z27" si="18">INT(I26*1%)</f>
        <v>40000</v>
      </c>
      <c r="AA26" s="19">
        <f t="shared" ref="AA26:AA30" si="19">INT((I26+L26)*0.01)</f>
        <v>40000</v>
      </c>
      <c r="AB26" s="19">
        <v>9000000</v>
      </c>
      <c r="AC26" s="7"/>
      <c r="AD26" s="19">
        <f t="shared" ref="AD26:AD27" si="20">AC26*3600000</f>
        <v>0</v>
      </c>
      <c r="AE26" s="7"/>
      <c r="AF26" s="7"/>
      <c r="AG26" s="145" t="s">
        <v>609</v>
      </c>
      <c r="AH26" s="7">
        <f t="shared" ref="AH26" si="21">R26-X26-Y26-Z26-AA26-AG26</f>
        <v>530000</v>
      </c>
      <c r="AI26" s="7"/>
      <c r="AJ26" s="1" t="s">
        <v>40</v>
      </c>
      <c r="AK26" s="2"/>
      <c r="AL26" s="16" t="s">
        <v>690</v>
      </c>
      <c r="AM26" s="22" t="s">
        <v>51</v>
      </c>
      <c r="AN26" s="5" t="s">
        <v>80</v>
      </c>
      <c r="AO26" s="24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</row>
    <row r="27" spans="1:55" s="13" customFormat="1" ht="18" customHeight="1" x14ac:dyDescent="0.25">
      <c r="A27" s="1" t="s">
        <v>36</v>
      </c>
      <c r="B27" s="2"/>
      <c r="C27" s="3" t="s">
        <v>693</v>
      </c>
      <c r="D27" s="4" t="s">
        <v>65</v>
      </c>
      <c r="E27" s="5" t="s">
        <v>80</v>
      </c>
      <c r="F27" s="24" t="s">
        <v>709</v>
      </c>
      <c r="G27" s="23" t="s">
        <v>710</v>
      </c>
      <c r="H27" s="204" t="s">
        <v>1275</v>
      </c>
      <c r="I27" s="7">
        <v>4000000</v>
      </c>
      <c r="J27" s="15"/>
      <c r="K27" s="9"/>
      <c r="L27" s="7"/>
      <c r="M27" s="7"/>
      <c r="N27" s="10">
        <v>9900000</v>
      </c>
      <c r="O27" s="7">
        <v>31</v>
      </c>
      <c r="P27" s="7"/>
      <c r="Q27" s="7"/>
      <c r="R27" s="7">
        <f t="shared" si="1"/>
        <v>990000</v>
      </c>
      <c r="S27" s="7"/>
      <c r="T27" s="7"/>
      <c r="U27" s="7"/>
      <c r="V27" s="7"/>
      <c r="W27" s="7"/>
      <c r="X27" s="7">
        <f t="shared" si="16"/>
        <v>320000</v>
      </c>
      <c r="Y27" s="7">
        <f t="shared" si="17"/>
        <v>60000</v>
      </c>
      <c r="Z27" s="7">
        <f t="shared" si="18"/>
        <v>40000</v>
      </c>
      <c r="AA27" s="19">
        <f t="shared" si="19"/>
        <v>40000</v>
      </c>
      <c r="AB27" s="19">
        <v>9000000</v>
      </c>
      <c r="AC27" s="7"/>
      <c r="AD27" s="19">
        <f t="shared" si="20"/>
        <v>0</v>
      </c>
      <c r="AE27" s="7"/>
      <c r="AF27" s="7"/>
      <c r="AG27" s="145" t="s">
        <v>609</v>
      </c>
      <c r="AH27" s="7">
        <f>R27-X27-Y27-Z27-AA27-AG27</f>
        <v>530000</v>
      </c>
      <c r="AI27" s="7"/>
      <c r="AJ27" s="1" t="s">
        <v>36</v>
      </c>
      <c r="AK27" s="2"/>
      <c r="AL27" s="3" t="s">
        <v>693</v>
      </c>
      <c r="AM27" s="4" t="s">
        <v>65</v>
      </c>
      <c r="AN27" s="5" t="s">
        <v>80</v>
      </c>
      <c r="AO27" s="24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</row>
    <row r="28" spans="1:55" s="13" customFormat="1" ht="18" customHeight="1" x14ac:dyDescent="0.25">
      <c r="A28" s="1" t="s">
        <v>37</v>
      </c>
      <c r="B28" s="2"/>
      <c r="C28" s="3" t="s">
        <v>643</v>
      </c>
      <c r="D28" s="4" t="s">
        <v>644</v>
      </c>
      <c r="E28" s="5" t="s">
        <v>80</v>
      </c>
      <c r="F28" s="14" t="s">
        <v>645</v>
      </c>
      <c r="G28" s="14" t="s">
        <v>671</v>
      </c>
      <c r="H28" s="208" t="s">
        <v>1170</v>
      </c>
      <c r="I28" s="7">
        <v>4000000</v>
      </c>
      <c r="J28" s="8"/>
      <c r="K28" s="9"/>
      <c r="L28" s="7"/>
      <c r="M28" s="7"/>
      <c r="N28" s="10">
        <v>9900000</v>
      </c>
      <c r="O28" s="7">
        <v>31</v>
      </c>
      <c r="P28" s="7"/>
      <c r="Q28" s="7"/>
      <c r="R28" s="7">
        <f t="shared" si="1"/>
        <v>990000</v>
      </c>
      <c r="S28" s="7"/>
      <c r="T28" s="7"/>
      <c r="U28" s="7"/>
      <c r="V28" s="7"/>
      <c r="W28" s="7"/>
      <c r="X28" s="7">
        <f t="shared" ref="X28:X30" si="22">INT((I28+L28)*8%)</f>
        <v>320000</v>
      </c>
      <c r="Y28" s="7">
        <f t="shared" si="17"/>
        <v>60000</v>
      </c>
      <c r="Z28" s="7">
        <f>INT((I28)*1%)</f>
        <v>40000</v>
      </c>
      <c r="AA28" s="7">
        <f t="shared" si="19"/>
        <v>40000</v>
      </c>
      <c r="AB28" s="7">
        <v>9000000</v>
      </c>
      <c r="AC28" s="20"/>
      <c r="AD28" s="7">
        <f>AC28*3600000</f>
        <v>0</v>
      </c>
      <c r="AE28" s="7"/>
      <c r="AF28" s="7"/>
      <c r="AG28" s="147" t="s">
        <v>609</v>
      </c>
      <c r="AH28" s="7">
        <f t="shared" ref="AH28:AH30" si="23">R28-X28-Y28-Z28-AA28-AG28</f>
        <v>530000</v>
      </c>
      <c r="AI28" s="21"/>
      <c r="AJ28" s="1" t="s">
        <v>37</v>
      </c>
      <c r="AK28" s="2"/>
      <c r="AL28" s="3" t="s">
        <v>643</v>
      </c>
      <c r="AM28" s="4" t="s">
        <v>644</v>
      </c>
      <c r="AN28" s="5" t="s">
        <v>80</v>
      </c>
      <c r="AO28" s="24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</row>
    <row r="29" spans="1:55" s="13" customFormat="1" ht="16.5" customHeight="1" x14ac:dyDescent="0.25">
      <c r="A29" s="1" t="s">
        <v>43</v>
      </c>
      <c r="B29" s="2"/>
      <c r="C29" s="27" t="s">
        <v>742</v>
      </c>
      <c r="D29" s="12" t="s">
        <v>743</v>
      </c>
      <c r="E29" s="143" t="s">
        <v>637</v>
      </c>
      <c r="F29" s="14" t="s">
        <v>744</v>
      </c>
      <c r="G29" s="14">
        <v>194152853</v>
      </c>
      <c r="H29" s="208" t="s">
        <v>1487</v>
      </c>
      <c r="I29" s="7">
        <v>4000000</v>
      </c>
      <c r="J29" s="15"/>
      <c r="K29" s="7"/>
      <c r="L29" s="7"/>
      <c r="M29" s="7"/>
      <c r="N29" s="10">
        <v>9900000</v>
      </c>
      <c r="O29" s="7">
        <v>31</v>
      </c>
      <c r="P29" s="7"/>
      <c r="Q29" s="7"/>
      <c r="R29" s="7">
        <f t="shared" si="1"/>
        <v>990000</v>
      </c>
      <c r="S29" s="7"/>
      <c r="T29" s="7"/>
      <c r="U29" s="7"/>
      <c r="V29" s="7"/>
      <c r="W29" s="7"/>
      <c r="X29" s="7">
        <f t="shared" si="22"/>
        <v>320000</v>
      </c>
      <c r="Y29" s="7">
        <f t="shared" si="17"/>
        <v>60000</v>
      </c>
      <c r="Z29" s="7">
        <f t="shared" ref="Z29:Z30" si="24">INT(I29*1%)</f>
        <v>40000</v>
      </c>
      <c r="AA29" s="19">
        <f t="shared" si="19"/>
        <v>40000</v>
      </c>
      <c r="AB29" s="7">
        <v>9000000</v>
      </c>
      <c r="AC29" s="19"/>
      <c r="AD29" s="7">
        <f t="shared" ref="AD29:AD30" si="25">AC29*3600000</f>
        <v>0</v>
      </c>
      <c r="AE29" s="7"/>
      <c r="AF29" s="7"/>
      <c r="AG29" s="147" t="s">
        <v>609</v>
      </c>
      <c r="AH29" s="7">
        <f t="shared" si="23"/>
        <v>530000</v>
      </c>
      <c r="AI29" s="7"/>
      <c r="AJ29" s="1" t="s">
        <v>43</v>
      </c>
      <c r="AK29" s="2"/>
      <c r="AL29" s="27" t="s">
        <v>742</v>
      </c>
      <c r="AM29" s="12" t="s">
        <v>743</v>
      </c>
      <c r="AN29" s="143" t="s">
        <v>637</v>
      </c>
      <c r="AO29" s="24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</row>
    <row r="30" spans="1:55" s="13" customFormat="1" ht="15.75" customHeight="1" x14ac:dyDescent="0.25">
      <c r="A30" s="1" t="s">
        <v>39</v>
      </c>
      <c r="B30" s="2"/>
      <c r="C30" s="16" t="s">
        <v>158</v>
      </c>
      <c r="D30" s="22" t="s">
        <v>45</v>
      </c>
      <c r="E30" s="5" t="s">
        <v>557</v>
      </c>
      <c r="F30" s="14" t="s">
        <v>648</v>
      </c>
      <c r="G30" s="14">
        <v>211689481</v>
      </c>
      <c r="H30" s="208" t="s">
        <v>1050</v>
      </c>
      <c r="I30" s="7">
        <v>4000000</v>
      </c>
      <c r="J30" s="15"/>
      <c r="K30" s="9"/>
      <c r="L30" s="7">
        <v>0</v>
      </c>
      <c r="M30" s="7"/>
      <c r="N30" s="10">
        <v>7700000</v>
      </c>
      <c r="O30" s="7">
        <v>31</v>
      </c>
      <c r="P30" s="7"/>
      <c r="Q30" s="7"/>
      <c r="R30" s="7">
        <f t="shared" si="1"/>
        <v>770000</v>
      </c>
      <c r="S30" s="7"/>
      <c r="T30" s="7"/>
      <c r="U30" s="7"/>
      <c r="V30" s="7"/>
      <c r="W30" s="7"/>
      <c r="X30" s="7">
        <f t="shared" si="22"/>
        <v>320000</v>
      </c>
      <c r="Y30" s="7">
        <f t="shared" si="17"/>
        <v>60000</v>
      </c>
      <c r="Z30" s="7">
        <f t="shared" si="24"/>
        <v>40000</v>
      </c>
      <c r="AA30" s="19">
        <f t="shared" si="19"/>
        <v>40000</v>
      </c>
      <c r="AB30" s="7">
        <v>9000000</v>
      </c>
      <c r="AC30" s="7"/>
      <c r="AD30" s="7">
        <f t="shared" si="25"/>
        <v>0</v>
      </c>
      <c r="AE30" s="7"/>
      <c r="AF30" s="7"/>
      <c r="AG30" s="147" t="s">
        <v>609</v>
      </c>
      <c r="AH30" s="7">
        <f t="shared" si="23"/>
        <v>310000</v>
      </c>
      <c r="AI30" s="7"/>
      <c r="AJ30" s="1" t="s">
        <v>39</v>
      </c>
      <c r="AK30" s="2"/>
      <c r="AL30" s="16" t="s">
        <v>158</v>
      </c>
      <c r="AM30" s="22" t="s">
        <v>45</v>
      </c>
      <c r="AN30" s="5" t="s">
        <v>557</v>
      </c>
      <c r="AO30" s="24"/>
      <c r="AP30" s="24"/>
      <c r="AQ30" s="24"/>
      <c r="AR30" s="24"/>
      <c r="AS30" s="24"/>
      <c r="AT30" s="24"/>
      <c r="AU30" s="24"/>
      <c r="AV30" s="24"/>
      <c r="AW30" s="24"/>
      <c r="AX30" s="12"/>
      <c r="AY30" s="12"/>
      <c r="AZ30" s="12"/>
      <c r="BA30" s="12"/>
    </row>
    <row r="31" spans="1:55" s="13" customFormat="1" ht="18" customHeight="1" x14ac:dyDescent="0.25">
      <c r="A31" s="1" t="s">
        <v>41</v>
      </c>
      <c r="B31" s="2"/>
      <c r="C31" s="3" t="s">
        <v>699</v>
      </c>
      <c r="D31" s="4" t="s">
        <v>45</v>
      </c>
      <c r="E31" s="5" t="s">
        <v>96</v>
      </c>
      <c r="F31" s="14" t="s">
        <v>701</v>
      </c>
      <c r="G31" s="14" t="s">
        <v>700</v>
      </c>
      <c r="H31" s="208" t="s">
        <v>1029</v>
      </c>
      <c r="I31" s="7">
        <v>4000000</v>
      </c>
      <c r="J31" s="15"/>
      <c r="K31" s="9"/>
      <c r="L31" s="7"/>
      <c r="M31" s="7"/>
      <c r="N31" s="10">
        <v>11000000</v>
      </c>
      <c r="O31" s="7">
        <v>31</v>
      </c>
      <c r="P31" s="7"/>
      <c r="Q31" s="7"/>
      <c r="R31" s="7">
        <f t="shared" si="1"/>
        <v>1100000</v>
      </c>
      <c r="S31" s="7"/>
      <c r="T31" s="7"/>
      <c r="U31" s="7"/>
      <c r="V31" s="7"/>
      <c r="W31" s="7"/>
      <c r="X31" s="7">
        <f>INT((I31+L31)*8%)</f>
        <v>320000</v>
      </c>
      <c r="Y31" s="7">
        <f>INT((I31+L31)*1.5%)</f>
        <v>60000</v>
      </c>
      <c r="Z31" s="7">
        <f>INT(I31*0.01)</f>
        <v>40000</v>
      </c>
      <c r="AA31" s="19">
        <f>INT((I31+L31)*0.01)</f>
        <v>40000</v>
      </c>
      <c r="AB31" s="7">
        <v>9000000</v>
      </c>
      <c r="AC31" s="7"/>
      <c r="AD31" s="7">
        <f>AC31*3600000</f>
        <v>0</v>
      </c>
      <c r="AE31" s="7"/>
      <c r="AF31" s="7"/>
      <c r="AG31" s="147" t="s">
        <v>609</v>
      </c>
      <c r="AH31" s="7">
        <f>R31-X31-Y31-Z31-AA31-AG31</f>
        <v>640000</v>
      </c>
      <c r="AI31" s="5"/>
      <c r="AJ31" s="1" t="s">
        <v>41</v>
      </c>
      <c r="AK31" s="2"/>
      <c r="AL31" s="3" t="s">
        <v>699</v>
      </c>
      <c r="AM31" s="4" t="s">
        <v>45</v>
      </c>
      <c r="AN31" s="5" t="s">
        <v>96</v>
      </c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</row>
    <row r="32" spans="1:55" s="13" customFormat="1" ht="18" hidden="1" customHeight="1" x14ac:dyDescent="0.25">
      <c r="A32" s="38"/>
      <c r="B32" s="58"/>
      <c r="C32" s="403" t="s">
        <v>427</v>
      </c>
      <c r="D32" s="404"/>
      <c r="E32" s="55"/>
      <c r="F32" s="50"/>
      <c r="G32" s="50"/>
      <c r="H32" s="216"/>
      <c r="I32" s="51"/>
      <c r="J32" s="52"/>
      <c r="K32" s="51"/>
      <c r="L32" s="51"/>
      <c r="M32" s="51"/>
      <c r="N32" s="53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4"/>
      <c r="AC32" s="54"/>
      <c r="AD32" s="54">
        <f>AC32*1600000</f>
        <v>0</v>
      </c>
      <c r="AE32" s="51"/>
      <c r="AF32" s="51"/>
      <c r="AG32" s="146"/>
      <c r="AH32" s="51"/>
      <c r="AI32" s="55"/>
      <c r="AJ32" s="38"/>
      <c r="AK32" s="58"/>
      <c r="AL32" s="403" t="s">
        <v>427</v>
      </c>
      <c r="AM32" s="404"/>
      <c r="AN32" s="55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</row>
    <row r="33" spans="1:55" s="13" customFormat="1" ht="9" hidden="1" customHeight="1" x14ac:dyDescent="0.25">
      <c r="A33" s="280"/>
      <c r="B33" s="39"/>
      <c r="C33" s="27"/>
      <c r="D33" s="25"/>
      <c r="E33" s="112"/>
      <c r="F33" s="86"/>
      <c r="G33" s="85"/>
      <c r="H33" s="237"/>
      <c r="I33" s="87"/>
      <c r="J33" s="60"/>
      <c r="K33" s="87"/>
      <c r="L33" s="59"/>
      <c r="M33" s="87"/>
      <c r="N33" s="89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90"/>
      <c r="AB33" s="90"/>
      <c r="AC33" s="61"/>
      <c r="AD33" s="90"/>
      <c r="AE33" s="59"/>
      <c r="AF33" s="87"/>
      <c r="AG33" s="282"/>
      <c r="AH33" s="87"/>
      <c r="AI33" s="283"/>
      <c r="AJ33" s="280"/>
      <c r="AK33" s="39"/>
      <c r="AL33" s="27"/>
      <c r="AM33" s="25"/>
      <c r="AN33" s="112"/>
      <c r="AO33" s="11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</row>
    <row r="34" spans="1:55" s="13" customFormat="1" ht="18" hidden="1" customHeight="1" x14ac:dyDescent="0.25">
      <c r="A34" s="38"/>
      <c r="B34" s="38"/>
      <c r="C34" s="403" t="s">
        <v>85</v>
      </c>
      <c r="D34" s="404"/>
      <c r="E34" s="55"/>
      <c r="F34" s="50"/>
      <c r="G34" s="50"/>
      <c r="H34" s="216"/>
      <c r="I34" s="51"/>
      <c r="J34" s="52"/>
      <c r="K34" s="51"/>
      <c r="L34" s="51"/>
      <c r="M34" s="51"/>
      <c r="N34" s="53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4"/>
      <c r="AC34" s="54"/>
      <c r="AD34" s="54">
        <f>AC34*1600000</f>
        <v>0</v>
      </c>
      <c r="AE34" s="51"/>
      <c r="AF34" s="51"/>
      <c r="AG34" s="146"/>
      <c r="AH34" s="51">
        <f t="shared" ref="AH34" si="26">R34-X34-Y34-Z34-AA34-AG34</f>
        <v>0</v>
      </c>
      <c r="AI34" s="55"/>
      <c r="AJ34" s="38"/>
      <c r="AK34" s="38"/>
      <c r="AL34" s="403" t="s">
        <v>85</v>
      </c>
      <c r="AM34" s="404"/>
      <c r="AN34" s="55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</row>
    <row r="35" spans="1:55" s="13" customFormat="1" ht="8.25" hidden="1" customHeight="1" x14ac:dyDescent="0.25">
      <c r="A35" s="1"/>
      <c r="B35" s="29"/>
      <c r="C35" s="16"/>
      <c r="D35" s="22"/>
      <c r="E35" s="5"/>
      <c r="F35" s="14"/>
      <c r="G35" s="14"/>
      <c r="H35" s="208"/>
      <c r="I35" s="7"/>
      <c r="J35" s="15"/>
      <c r="K35" s="7"/>
      <c r="L35" s="7"/>
      <c r="M35" s="7"/>
      <c r="N35" s="10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19"/>
      <c r="AB35" s="19"/>
      <c r="AC35" s="19"/>
      <c r="AD35" s="19"/>
      <c r="AE35" s="7"/>
      <c r="AF35" s="7"/>
      <c r="AG35" s="145"/>
      <c r="AH35" s="7"/>
      <c r="AI35" s="5"/>
      <c r="AJ35" s="1"/>
      <c r="AK35" s="29"/>
      <c r="AL35" s="16"/>
      <c r="AM35" s="22"/>
      <c r="AN35" s="5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</row>
    <row r="36" spans="1:55" s="13" customFormat="1" ht="2.25" customHeight="1" x14ac:dyDescent="0.25">
      <c r="A36" s="1"/>
      <c r="B36" s="33"/>
      <c r="C36" s="82"/>
      <c r="D36" s="83"/>
      <c r="E36" s="84"/>
      <c r="F36" s="85"/>
      <c r="G36" s="86"/>
      <c r="H36" s="245"/>
      <c r="I36" s="87"/>
      <c r="J36" s="88"/>
      <c r="K36" s="87"/>
      <c r="L36" s="87"/>
      <c r="M36" s="87"/>
      <c r="N36" s="89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90"/>
      <c r="AB36" s="90"/>
      <c r="AC36" s="87"/>
      <c r="AD36" s="90"/>
      <c r="AE36" s="87"/>
      <c r="AF36" s="87"/>
      <c r="AG36" s="87"/>
      <c r="AH36" s="87"/>
      <c r="AI36" s="87"/>
      <c r="AJ36" s="1"/>
      <c r="AK36" s="33"/>
      <c r="AL36" s="36"/>
      <c r="AM36" s="91"/>
      <c r="AN36" s="9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</row>
    <row r="37" spans="1:55" s="94" customFormat="1" ht="16.5" customHeight="1" x14ac:dyDescent="0.25">
      <c r="A37" s="43">
        <v>24</v>
      </c>
      <c r="B37" s="43"/>
      <c r="C37" s="297" t="s">
        <v>87</v>
      </c>
      <c r="D37" s="298"/>
      <c r="E37" s="62"/>
      <c r="F37" s="40"/>
      <c r="G37" s="40"/>
      <c r="H37" s="219"/>
      <c r="I37" s="63">
        <f>SUM(I8:I36)</f>
        <v>110779500</v>
      </c>
      <c r="J37" s="63"/>
      <c r="K37" s="63"/>
      <c r="L37" s="63">
        <f>SUM(L8:L36)</f>
        <v>5500000</v>
      </c>
      <c r="M37" s="63">
        <f>SUM(M12:M36)</f>
        <v>0</v>
      </c>
      <c r="N37" s="63">
        <f t="shared" ref="N37" si="27">SUM(N8:N36)</f>
        <v>401500000</v>
      </c>
      <c r="O37" s="63">
        <f>SUM(O8:O36)</f>
        <v>744</v>
      </c>
      <c r="P37" s="63">
        <f>SUM(P8:P36)</f>
        <v>0</v>
      </c>
      <c r="Q37" s="63"/>
      <c r="R37" s="63">
        <f>SUM(R8:R36)</f>
        <v>39358000</v>
      </c>
      <c r="S37" s="63">
        <f t="shared" ref="S37:AH37" si="28">SUM(S8:S36)</f>
        <v>0</v>
      </c>
      <c r="T37" s="63">
        <f t="shared" si="28"/>
        <v>0</v>
      </c>
      <c r="U37" s="63">
        <f t="shared" si="28"/>
        <v>0</v>
      </c>
      <c r="V37" s="63">
        <f t="shared" si="28"/>
        <v>0</v>
      </c>
      <c r="W37" s="63">
        <f t="shared" si="28"/>
        <v>0</v>
      </c>
      <c r="X37" s="63">
        <f t="shared" si="28"/>
        <v>9302360</v>
      </c>
      <c r="Y37" s="63">
        <f t="shared" si="28"/>
        <v>1744190</v>
      </c>
      <c r="Z37" s="63">
        <f t="shared" si="28"/>
        <v>1107795</v>
      </c>
      <c r="AA37" s="63">
        <f t="shared" si="28"/>
        <v>1162795</v>
      </c>
      <c r="AB37" s="63">
        <f t="shared" si="28"/>
        <v>216000000</v>
      </c>
      <c r="AC37" s="63">
        <f t="shared" si="28"/>
        <v>7</v>
      </c>
      <c r="AD37" s="63">
        <f t="shared" si="28"/>
        <v>25200000</v>
      </c>
      <c r="AE37" s="63">
        <f t="shared" si="28"/>
        <v>0</v>
      </c>
      <c r="AF37" s="63">
        <f t="shared" si="28"/>
        <v>0</v>
      </c>
      <c r="AG37" s="63">
        <f t="shared" si="28"/>
        <v>0</v>
      </c>
      <c r="AH37" s="63">
        <f t="shared" si="28"/>
        <v>26040860</v>
      </c>
      <c r="AI37" s="63">
        <f>SUM(AI12:AI34)</f>
        <v>0</v>
      </c>
      <c r="AJ37" s="43">
        <v>24</v>
      </c>
      <c r="AK37" s="142"/>
      <c r="AL37" s="93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</row>
    <row r="38" spans="1:55" s="70" customFormat="1" ht="6" customHeight="1" x14ac:dyDescent="0.3">
      <c r="A38" s="41"/>
      <c r="B38" s="41"/>
      <c r="C38" s="42"/>
      <c r="D38" s="405"/>
      <c r="E38" s="406"/>
      <c r="F38" s="96"/>
      <c r="G38" s="96"/>
      <c r="H38" s="246"/>
      <c r="I38" s="67"/>
      <c r="J38" s="67"/>
      <c r="K38" s="67"/>
      <c r="L38" s="67"/>
      <c r="M38" s="67"/>
      <c r="N38" s="68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9"/>
      <c r="AJ38" s="66"/>
      <c r="AK38" s="66"/>
      <c r="AL38" s="69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</row>
    <row r="39" spans="1:55" x14ac:dyDescent="0.25">
      <c r="AG39" s="407" t="s">
        <v>2168</v>
      </c>
      <c r="AH39" s="407"/>
      <c r="AI39" s="407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</row>
    <row r="40" spans="1:55" x14ac:dyDescent="0.25">
      <c r="C40" s="352" t="s">
        <v>100</v>
      </c>
      <c r="D40" s="352"/>
      <c r="E40" s="70"/>
      <c r="F40" s="303"/>
      <c r="G40" s="303"/>
      <c r="H40" s="221"/>
      <c r="I40" s="352" t="s">
        <v>462</v>
      </c>
      <c r="J40" s="352"/>
      <c r="K40" s="352"/>
      <c r="L40" s="352"/>
      <c r="M40" s="352"/>
      <c r="N40" s="352"/>
      <c r="O40" s="352"/>
      <c r="P40" s="352"/>
      <c r="Q40" s="352"/>
      <c r="R40" s="352"/>
      <c r="S40" s="300"/>
      <c r="T40" s="300"/>
      <c r="U40" s="300"/>
      <c r="V40" s="300"/>
      <c r="W40" s="300"/>
      <c r="X40" s="408" t="s">
        <v>115</v>
      </c>
      <c r="Y40" s="408"/>
      <c r="Z40" s="408"/>
      <c r="AA40" s="71"/>
      <c r="AB40" s="71"/>
      <c r="AC40" s="71"/>
      <c r="AD40" s="71"/>
      <c r="AE40" s="71"/>
      <c r="AF40" s="71"/>
      <c r="AG40" s="409" t="s">
        <v>188</v>
      </c>
      <c r="AH40" s="409"/>
      <c r="AI40" s="409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</row>
    <row r="41" spans="1:55" x14ac:dyDescent="0.25">
      <c r="E41" s="37"/>
      <c r="F41" s="45"/>
      <c r="G41" s="45"/>
      <c r="H41" s="205"/>
      <c r="N41" s="72"/>
      <c r="O41" s="73"/>
      <c r="P41" s="73"/>
      <c r="Q41" s="73"/>
      <c r="AF41" s="47"/>
      <c r="AG41" s="47"/>
      <c r="AH41" s="74"/>
    </row>
    <row r="42" spans="1:55" x14ac:dyDescent="0.25">
      <c r="E42" s="37"/>
      <c r="F42" s="45"/>
      <c r="G42" s="45"/>
      <c r="H42" s="205"/>
      <c r="N42" s="72"/>
      <c r="O42" s="73"/>
      <c r="P42" s="73"/>
      <c r="Q42" s="73"/>
      <c r="AF42" s="47"/>
      <c r="AG42" s="47"/>
      <c r="AH42" s="74"/>
    </row>
    <row r="43" spans="1:55" x14ac:dyDescent="0.25">
      <c r="E43" s="37"/>
      <c r="F43" s="45"/>
      <c r="G43" s="45"/>
      <c r="H43" s="205"/>
      <c r="N43" s="72"/>
      <c r="O43" s="73"/>
      <c r="P43" s="73"/>
      <c r="Q43" s="73"/>
      <c r="AF43" s="47"/>
      <c r="AG43" s="47"/>
      <c r="AH43" s="74"/>
    </row>
    <row r="44" spans="1:55" x14ac:dyDescent="0.25">
      <c r="E44" s="37"/>
      <c r="F44" s="45"/>
      <c r="G44" s="45"/>
      <c r="H44" s="205"/>
      <c r="N44" s="72"/>
      <c r="O44" s="73"/>
      <c r="P44" s="73"/>
      <c r="Q44" s="73"/>
      <c r="AF44" s="47"/>
      <c r="AG44" s="47"/>
      <c r="AH44" s="74"/>
    </row>
    <row r="45" spans="1:55" x14ac:dyDescent="0.25">
      <c r="E45" s="37"/>
      <c r="F45" s="45"/>
      <c r="G45" s="45"/>
      <c r="H45" s="205"/>
      <c r="N45" s="72"/>
      <c r="O45" s="73"/>
      <c r="P45" s="73"/>
      <c r="Q45" s="73"/>
      <c r="AE45" s="74"/>
      <c r="AF45" s="47"/>
      <c r="AG45" s="47"/>
    </row>
    <row r="46" spans="1:55" ht="13.8" x14ac:dyDescent="0.25">
      <c r="C46" s="402" t="s">
        <v>99</v>
      </c>
      <c r="D46" s="402"/>
      <c r="E46" s="37"/>
      <c r="F46" s="45"/>
      <c r="G46" s="45"/>
      <c r="H46" s="205"/>
      <c r="I46" s="402" t="s">
        <v>501</v>
      </c>
      <c r="J46" s="402"/>
      <c r="K46" s="402"/>
      <c r="L46" s="402"/>
      <c r="M46" s="402"/>
      <c r="N46" s="402"/>
      <c r="O46" s="402"/>
      <c r="P46" s="402"/>
      <c r="Q46" s="402"/>
      <c r="R46" s="402"/>
      <c r="S46" s="299"/>
      <c r="AF46" s="47"/>
      <c r="AG46" s="47"/>
    </row>
    <row r="47" spans="1:55" x14ac:dyDescent="0.25">
      <c r="E47" s="37"/>
      <c r="F47" s="45"/>
      <c r="G47" s="45"/>
      <c r="H47" s="205"/>
      <c r="I47" s="74"/>
      <c r="AF47" s="47"/>
      <c r="AG47" s="47"/>
    </row>
    <row r="48" spans="1:55" x14ac:dyDescent="0.25">
      <c r="X48" s="47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</row>
    <row r="49" spans="41:52" x14ac:dyDescent="0.25"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</row>
    <row r="50" spans="41:52" x14ac:dyDescent="0.25"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</row>
    <row r="51" spans="41:52" x14ac:dyDescent="0.25"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</row>
    <row r="52" spans="41:52" x14ac:dyDescent="0.25"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</row>
  </sheetData>
  <mergeCells count="39">
    <mergeCell ref="C46:D46"/>
    <mergeCell ref="I46:R46"/>
    <mergeCell ref="C32:D32"/>
    <mergeCell ref="AL32:AM32"/>
    <mergeCell ref="C34:D34"/>
    <mergeCell ref="AL34:AM34"/>
    <mergeCell ref="D38:E38"/>
    <mergeCell ref="AG39:AI39"/>
    <mergeCell ref="C40:D40"/>
    <mergeCell ref="I40:R40"/>
    <mergeCell ref="X40:Z40"/>
    <mergeCell ref="AG40:AI40"/>
    <mergeCell ref="AN5:AN7"/>
    <mergeCell ref="AO5:AZ5"/>
    <mergeCell ref="X6:X7"/>
    <mergeCell ref="Y6:Y7"/>
    <mergeCell ref="Z6:Z7"/>
    <mergeCell ref="AA6:AA7"/>
    <mergeCell ref="AF6:AF7"/>
    <mergeCell ref="AG6:AG7"/>
    <mergeCell ref="AO6:AZ6"/>
    <mergeCell ref="AO7:AZ7"/>
    <mergeCell ref="AH5:AH7"/>
    <mergeCell ref="AI5:AI7"/>
    <mergeCell ref="AJ5:AJ7"/>
    <mergeCell ref="AL5:AM7"/>
    <mergeCell ref="A2:AI2"/>
    <mergeCell ref="A4:AI4"/>
    <mergeCell ref="A5:A7"/>
    <mergeCell ref="C5:D7"/>
    <mergeCell ref="E5:E7"/>
    <mergeCell ref="I5:I7"/>
    <mergeCell ref="L5:L7"/>
    <mergeCell ref="M5:M7"/>
    <mergeCell ref="O5:P7"/>
    <mergeCell ref="A3:AI3"/>
    <mergeCell ref="R5:R7"/>
    <mergeCell ref="N5:N7"/>
    <mergeCell ref="X5:AG5"/>
  </mergeCells>
  <printOptions horizontalCentered="1"/>
  <pageMargins left="0" right="0" top="0.19685039370078741" bottom="0" header="0.31496062992125984" footer="0.31496062992125984"/>
  <pageSetup paperSize="9" scale="9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51"/>
  <sheetViews>
    <sheetView topLeftCell="A6" workbookViewId="0">
      <selection activeCell="R32" sqref="R32"/>
    </sheetView>
  </sheetViews>
  <sheetFormatPr defaultColWidth="9.109375" defaultRowHeight="16.5" customHeight="1" outlineLevelCol="1" x14ac:dyDescent="0.25"/>
  <cols>
    <col min="1" max="1" width="3.109375" style="37" customWidth="1"/>
    <col min="2" max="2" width="1.88671875" style="37" hidden="1" customWidth="1" outlineLevel="1"/>
    <col min="3" max="3" width="16.109375" style="37" customWidth="1" collapsed="1"/>
    <col min="4" max="4" width="8.5546875" style="37" customWidth="1"/>
    <col min="5" max="5" width="12.88671875" style="37" customWidth="1"/>
    <col min="6" max="6" width="9.5546875" style="120" hidden="1" customWidth="1" outlineLevel="1"/>
    <col min="7" max="7" width="9.109375" style="120" hidden="1" customWidth="1" outlineLevel="1"/>
    <col min="8" max="8" width="15.5546875" style="205" hidden="1" customWidth="1" outlineLevel="1"/>
    <col min="9" max="9" width="12.109375" style="37" customWidth="1" collapsed="1"/>
    <col min="10" max="10" width="5.33203125" style="37" hidden="1" customWidth="1" outlineLevel="1"/>
    <col min="11" max="11" width="9.44140625" style="37" hidden="1" customWidth="1" outlineLevel="1"/>
    <col min="12" max="12" width="10" style="37" customWidth="1" collapsed="1"/>
    <col min="13" max="13" width="3.6640625" style="37" hidden="1" customWidth="1" outlineLevel="1"/>
    <col min="14" max="14" width="12" style="46" customWidth="1" collapsed="1"/>
    <col min="15" max="15" width="9.109375" style="37" hidden="1" customWidth="1" outlineLevel="1"/>
    <col min="16" max="16" width="4.88671875" style="37" hidden="1" customWidth="1" outlineLevel="1"/>
    <col min="17" max="17" width="4.5546875" style="37" hidden="1" customWidth="1" outlineLevel="1"/>
    <col min="18" max="18" width="12" style="37" customWidth="1" collapsed="1"/>
    <col min="19" max="19" width="1.33203125" style="37" hidden="1" customWidth="1" outlineLevel="1"/>
    <col min="20" max="20" width="1.44140625" style="37" hidden="1" customWidth="1" outlineLevel="1"/>
    <col min="21" max="21" width="1.5546875" style="37" hidden="1" customWidth="1" outlineLevel="1"/>
    <col min="22" max="23" width="1.44140625" style="37" hidden="1" customWidth="1" outlineLevel="1"/>
    <col min="24" max="24" width="11.109375" style="37" bestFit="1" customWidth="1" collapsed="1"/>
    <col min="25" max="25" width="10" style="37" customWidth="1"/>
    <col min="26" max="27" width="10" style="37" bestFit="1" customWidth="1"/>
    <col min="28" max="29" width="9" style="37" hidden="1" customWidth="1" outlineLevel="1"/>
    <col min="30" max="30" width="11.6640625" style="37" hidden="1" customWidth="1" outlineLevel="1"/>
    <col min="31" max="31" width="10.88671875" style="37" hidden="1" customWidth="1" outlineLevel="1"/>
    <col min="32" max="32" width="12.33203125" style="37" hidden="1" customWidth="1" outlineLevel="1"/>
    <col min="33" max="33" width="8" style="37" bestFit="1" customWidth="1" collapsed="1"/>
    <col min="34" max="34" width="13.5546875" style="37" customWidth="1"/>
    <col min="35" max="35" width="14.6640625" style="37" customWidth="1"/>
    <col min="36" max="36" width="4.5546875" style="37" bestFit="1" customWidth="1"/>
    <col min="37" max="37" width="2" style="37" hidden="1" customWidth="1"/>
    <col min="38" max="38" width="16.5546875" style="37" customWidth="1"/>
    <col min="39" max="39" width="6.6640625" style="37" bestFit="1" customWidth="1"/>
    <col min="40" max="40" width="12" style="310" customWidth="1"/>
    <col min="41" max="49" width="9.109375" style="37"/>
    <col min="50" max="50" width="25.6640625" style="37" customWidth="1"/>
    <col min="51" max="16384" width="9.109375" style="37"/>
  </cols>
  <sheetData>
    <row r="1" spans="1:55" ht="15.75" customHeight="1" x14ac:dyDescent="0.25">
      <c r="A1" s="415" t="s">
        <v>118</v>
      </c>
      <c r="B1" s="415"/>
      <c r="C1" s="415"/>
      <c r="D1" s="415"/>
      <c r="E1" s="415"/>
      <c r="F1" s="415"/>
      <c r="G1" s="415"/>
      <c r="H1" s="415"/>
      <c r="I1" s="415"/>
      <c r="J1" s="98"/>
      <c r="K1" s="98"/>
      <c r="L1" s="99"/>
      <c r="M1" s="99"/>
      <c r="N1" s="100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</row>
    <row r="2" spans="1:55" ht="15" customHeight="1" x14ac:dyDescent="0.25">
      <c r="A2" s="416" t="s">
        <v>2166</v>
      </c>
      <c r="B2" s="416"/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6"/>
      <c r="AB2" s="416"/>
      <c r="AC2" s="416"/>
      <c r="AD2" s="416"/>
      <c r="AE2" s="416"/>
      <c r="AF2" s="416"/>
      <c r="AG2" s="416"/>
      <c r="AH2" s="416"/>
      <c r="AI2" s="416"/>
    </row>
    <row r="3" spans="1:55" ht="15.6" x14ac:dyDescent="0.3">
      <c r="A3" s="350" t="s">
        <v>2164</v>
      </c>
      <c r="B3" s="350"/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  <c r="AD3" s="350"/>
      <c r="AE3" s="350"/>
      <c r="AF3" s="350"/>
      <c r="AG3" s="350"/>
      <c r="AH3" s="350"/>
      <c r="AI3" s="350"/>
      <c r="AJ3" s="304"/>
      <c r="AK3" s="317"/>
      <c r="AN3" s="37"/>
    </row>
    <row r="4" spans="1:55" ht="15.6" x14ac:dyDescent="0.3">
      <c r="A4" s="373" t="s">
        <v>2167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3"/>
    </row>
    <row r="5" spans="1:55" ht="11.25" customHeight="1" x14ac:dyDescent="0.25">
      <c r="A5" s="321"/>
      <c r="B5" s="321"/>
      <c r="C5" s="321"/>
      <c r="D5" s="321"/>
      <c r="E5" s="321"/>
      <c r="F5" s="101"/>
      <c r="G5" s="101"/>
      <c r="H5" s="249"/>
      <c r="I5" s="321"/>
      <c r="J5" s="321"/>
      <c r="K5" s="321"/>
      <c r="L5" s="321"/>
      <c r="M5" s="321"/>
      <c r="N5" s="102"/>
      <c r="O5" s="321"/>
      <c r="P5" s="321"/>
      <c r="Q5" s="321"/>
      <c r="R5" s="321"/>
      <c r="S5" s="321"/>
      <c r="T5" s="321"/>
      <c r="U5" s="321"/>
      <c r="V5" s="321"/>
      <c r="W5" s="321"/>
      <c r="X5" s="321"/>
      <c r="Y5" s="321"/>
      <c r="Z5" s="321"/>
      <c r="AA5" s="321"/>
      <c r="AB5" s="321"/>
      <c r="AC5" s="321"/>
      <c r="AD5" s="321"/>
      <c r="AE5" s="321"/>
      <c r="AF5" s="321"/>
      <c r="AG5" s="103"/>
      <c r="AH5" s="321"/>
      <c r="AI5" s="321"/>
    </row>
    <row r="6" spans="1:55" ht="16.5" customHeight="1" x14ac:dyDescent="0.3">
      <c r="A6" s="344" t="s">
        <v>16</v>
      </c>
      <c r="B6" s="314"/>
      <c r="C6" s="338" t="s">
        <v>116</v>
      </c>
      <c r="D6" s="339"/>
      <c r="E6" s="344" t="s">
        <v>88</v>
      </c>
      <c r="F6" s="48" t="s">
        <v>376</v>
      </c>
      <c r="G6" s="104" t="s">
        <v>53</v>
      </c>
      <c r="H6" s="250"/>
      <c r="I6" s="335" t="s">
        <v>509</v>
      </c>
      <c r="J6" s="77" t="s">
        <v>457</v>
      </c>
      <c r="K6" s="312"/>
      <c r="L6" s="417" t="s">
        <v>114</v>
      </c>
      <c r="M6" s="379"/>
      <c r="N6" s="386" t="s">
        <v>2188</v>
      </c>
      <c r="O6" s="380" t="s">
        <v>649</v>
      </c>
      <c r="P6" s="381"/>
      <c r="Q6" s="320"/>
      <c r="R6" s="379" t="s">
        <v>2169</v>
      </c>
      <c r="S6" s="105"/>
      <c r="T6" s="105"/>
      <c r="U6" s="105"/>
      <c r="V6" s="105"/>
      <c r="W6" s="105"/>
      <c r="X6" s="369" t="s">
        <v>2165</v>
      </c>
      <c r="Y6" s="370"/>
      <c r="Z6" s="370"/>
      <c r="AA6" s="370"/>
      <c r="AB6" s="370"/>
      <c r="AC6" s="370"/>
      <c r="AD6" s="370"/>
      <c r="AE6" s="370"/>
      <c r="AF6" s="370"/>
      <c r="AG6" s="410"/>
      <c r="AH6" s="360" t="s">
        <v>117</v>
      </c>
      <c r="AI6" s="344" t="s">
        <v>119</v>
      </c>
      <c r="AJ6" s="344" t="s">
        <v>16</v>
      </c>
      <c r="AK6" s="314"/>
      <c r="AL6" s="338" t="s">
        <v>116</v>
      </c>
      <c r="AM6" s="339"/>
      <c r="AN6" s="344" t="s">
        <v>88</v>
      </c>
      <c r="AO6" s="411" t="s">
        <v>113</v>
      </c>
      <c r="AP6" s="412"/>
      <c r="AQ6" s="412"/>
      <c r="AR6" s="412"/>
      <c r="AS6" s="412"/>
      <c r="AT6" s="412"/>
      <c r="AU6" s="412"/>
      <c r="AV6" s="412"/>
      <c r="AW6" s="412"/>
      <c r="AX6" s="412"/>
      <c r="AY6" s="412"/>
      <c r="AZ6" s="412"/>
      <c r="BA6" s="413"/>
    </row>
    <row r="7" spans="1:55" ht="16.5" customHeight="1" x14ac:dyDescent="0.25">
      <c r="A7" s="348"/>
      <c r="B7" s="315"/>
      <c r="C7" s="340"/>
      <c r="D7" s="341"/>
      <c r="E7" s="348"/>
      <c r="F7" s="106"/>
      <c r="G7" s="107"/>
      <c r="H7" s="251"/>
      <c r="I7" s="348"/>
      <c r="J7" s="79"/>
      <c r="K7" s="322"/>
      <c r="L7" s="418"/>
      <c r="M7" s="361"/>
      <c r="N7" s="387"/>
      <c r="O7" s="382"/>
      <c r="P7" s="383"/>
      <c r="Q7" s="318"/>
      <c r="R7" s="361"/>
      <c r="S7" s="318"/>
      <c r="T7" s="318"/>
      <c r="U7" s="318"/>
      <c r="V7" s="318"/>
      <c r="W7" s="318"/>
      <c r="X7" s="348" t="s">
        <v>17</v>
      </c>
      <c r="Y7" s="348" t="s">
        <v>18</v>
      </c>
      <c r="Z7" s="348" t="s">
        <v>97</v>
      </c>
      <c r="AA7" s="348" t="s">
        <v>56</v>
      </c>
      <c r="AB7" s="316" t="s">
        <v>82</v>
      </c>
      <c r="AC7" s="316" t="s">
        <v>91</v>
      </c>
      <c r="AD7" s="316" t="s">
        <v>83</v>
      </c>
      <c r="AE7" s="326" t="s">
        <v>83</v>
      </c>
      <c r="AF7" s="392" t="s">
        <v>64</v>
      </c>
      <c r="AG7" s="394" t="s">
        <v>86</v>
      </c>
      <c r="AH7" s="361"/>
      <c r="AI7" s="348"/>
      <c r="AJ7" s="348"/>
      <c r="AK7" s="315"/>
      <c r="AL7" s="340"/>
      <c r="AM7" s="341"/>
      <c r="AN7" s="348"/>
      <c r="AO7" s="108"/>
      <c r="AP7" s="109"/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10"/>
    </row>
    <row r="8" spans="1:55" ht="16.5" customHeight="1" x14ac:dyDescent="0.25">
      <c r="A8" s="345"/>
      <c r="B8" s="309"/>
      <c r="C8" s="342"/>
      <c r="D8" s="343"/>
      <c r="E8" s="345"/>
      <c r="F8" s="111"/>
      <c r="G8" s="111"/>
      <c r="H8" s="252"/>
      <c r="I8" s="345"/>
      <c r="J8" s="81"/>
      <c r="K8" s="323"/>
      <c r="L8" s="418"/>
      <c r="M8" s="362"/>
      <c r="N8" s="388"/>
      <c r="O8" s="384"/>
      <c r="P8" s="385"/>
      <c r="Q8" s="319"/>
      <c r="R8" s="362"/>
      <c r="S8" s="319"/>
      <c r="T8" s="319"/>
      <c r="U8" s="319"/>
      <c r="V8" s="319"/>
      <c r="W8" s="319"/>
      <c r="X8" s="345"/>
      <c r="Y8" s="345"/>
      <c r="Z8" s="345"/>
      <c r="AA8" s="345"/>
      <c r="AB8" s="311" t="s">
        <v>108</v>
      </c>
      <c r="AC8" s="311" t="s">
        <v>81</v>
      </c>
      <c r="AD8" s="311" t="s">
        <v>81</v>
      </c>
      <c r="AE8" s="313" t="s">
        <v>104</v>
      </c>
      <c r="AF8" s="393"/>
      <c r="AG8" s="395"/>
      <c r="AH8" s="362"/>
      <c r="AI8" s="345"/>
      <c r="AJ8" s="345"/>
      <c r="AK8" s="309"/>
      <c r="AL8" s="342"/>
      <c r="AM8" s="343"/>
      <c r="AN8" s="345"/>
      <c r="AO8" s="414"/>
      <c r="AP8" s="414"/>
      <c r="AQ8" s="414"/>
      <c r="AR8" s="414"/>
      <c r="AS8" s="414"/>
      <c r="AT8" s="414"/>
      <c r="AU8" s="414"/>
      <c r="AV8" s="414"/>
      <c r="AW8" s="414"/>
      <c r="AX8" s="414"/>
      <c r="AY8" s="414"/>
      <c r="AZ8" s="414"/>
      <c r="BA8" s="414"/>
    </row>
    <row r="9" spans="1:55" s="13" customFormat="1" ht="18.899999999999999" customHeight="1" x14ac:dyDescent="0.25">
      <c r="A9" s="1" t="s">
        <v>19</v>
      </c>
      <c r="B9" s="2"/>
      <c r="C9" s="3" t="s">
        <v>139</v>
      </c>
      <c r="D9" s="4" t="s">
        <v>614</v>
      </c>
      <c r="E9" s="143" t="s">
        <v>646</v>
      </c>
      <c r="F9" s="14" t="s">
        <v>350</v>
      </c>
      <c r="G9" s="14" t="s">
        <v>548</v>
      </c>
      <c r="H9" s="208" t="s">
        <v>1233</v>
      </c>
      <c r="I9" s="7">
        <f>K9*J9</f>
        <v>6468000</v>
      </c>
      <c r="J9" s="8">
        <v>6.16</v>
      </c>
      <c r="K9" s="9">
        <v>1050000</v>
      </c>
      <c r="L9" s="7">
        <v>1000000</v>
      </c>
      <c r="M9" s="7"/>
      <c r="N9" s="10">
        <v>40000000</v>
      </c>
      <c r="O9" s="7">
        <v>3</v>
      </c>
      <c r="P9" s="7"/>
      <c r="Q9" s="7"/>
      <c r="R9" s="7">
        <f>INT((N9*O9/30))</f>
        <v>4000000</v>
      </c>
      <c r="S9" s="7"/>
      <c r="T9" s="7"/>
      <c r="U9" s="7"/>
      <c r="V9" s="7"/>
      <c r="W9" s="7"/>
      <c r="X9" s="7">
        <f>INT((I9+L9)*8%)</f>
        <v>597440</v>
      </c>
      <c r="Y9" s="7">
        <f>INT((I9+L9)*1.5%)</f>
        <v>112020</v>
      </c>
      <c r="Z9" s="7">
        <f>INT(I9*0.01)</f>
        <v>64680</v>
      </c>
      <c r="AA9" s="7">
        <f>INT(I9+L9)*0.01</f>
        <v>74680</v>
      </c>
      <c r="AB9" s="7">
        <v>9000000</v>
      </c>
      <c r="AC9" s="10">
        <v>2</v>
      </c>
      <c r="AD9" s="7">
        <f>AC9*3600000</f>
        <v>7200000</v>
      </c>
      <c r="AE9" s="7"/>
      <c r="AF9" s="7"/>
      <c r="AG9" s="147" t="s">
        <v>609</v>
      </c>
      <c r="AH9" s="7">
        <f t="shared" ref="AH9:AH32" si="0">R9-X9-Y9-Z9-AA9-AG9</f>
        <v>3151180</v>
      </c>
      <c r="AI9" s="7"/>
      <c r="AJ9" s="1" t="s">
        <v>19</v>
      </c>
      <c r="AK9" s="2"/>
      <c r="AL9" s="3" t="s">
        <v>139</v>
      </c>
      <c r="AM9" s="4" t="s">
        <v>614</v>
      </c>
      <c r="AN9" s="143" t="s">
        <v>646</v>
      </c>
      <c r="AO9" s="24"/>
      <c r="AP9" s="24"/>
      <c r="AQ9" s="24"/>
      <c r="AR9" s="24"/>
      <c r="AS9" s="24"/>
      <c r="AT9" s="24"/>
      <c r="AU9" s="24"/>
      <c r="AV9" s="24"/>
      <c r="AW9" s="24"/>
      <c r="AX9" s="12"/>
      <c r="AY9" s="12"/>
      <c r="AZ9" s="25"/>
    </row>
    <row r="10" spans="1:55" s="13" customFormat="1" ht="26.4" x14ac:dyDescent="0.25">
      <c r="A10" s="1" t="s">
        <v>20</v>
      </c>
      <c r="B10" s="2"/>
      <c r="C10" s="3" t="s">
        <v>2170</v>
      </c>
      <c r="D10" s="4" t="s">
        <v>92</v>
      </c>
      <c r="E10" s="143" t="s">
        <v>2178</v>
      </c>
      <c r="F10" s="14"/>
      <c r="G10" s="14"/>
      <c r="H10" s="281" t="s">
        <v>2155</v>
      </c>
      <c r="I10" s="7">
        <f t="shared" ref="I10:I15" si="1">J10*K10</f>
        <v>5680500</v>
      </c>
      <c r="J10" s="15">
        <v>5.41</v>
      </c>
      <c r="K10" s="9">
        <v>1050000</v>
      </c>
      <c r="L10" s="7">
        <v>500000</v>
      </c>
      <c r="M10" s="7"/>
      <c r="N10" s="10">
        <v>40000000</v>
      </c>
      <c r="O10" s="7">
        <v>3</v>
      </c>
      <c r="P10" s="7"/>
      <c r="Q10" s="7"/>
      <c r="R10" s="7">
        <f>INT((N10*O10/30))*0.85</f>
        <v>3400000</v>
      </c>
      <c r="S10" s="7"/>
      <c r="T10" s="7"/>
      <c r="U10" s="7"/>
      <c r="V10" s="7"/>
      <c r="W10" s="7"/>
      <c r="X10" s="7">
        <f t="shared" ref="X10:X32" si="2">INT((I10+L10)*8%)</f>
        <v>494440</v>
      </c>
      <c r="Y10" s="7">
        <f>INT((I10+L10)*1.5%)</f>
        <v>92707</v>
      </c>
      <c r="Z10" s="7">
        <f>INT(I10*0.01)</f>
        <v>56805</v>
      </c>
      <c r="AA10" s="7">
        <f>INT(I10+L10)*0.01</f>
        <v>61805</v>
      </c>
      <c r="AB10" s="7">
        <v>9000000</v>
      </c>
      <c r="AC10" s="20"/>
      <c r="AD10" s="7">
        <f t="shared" ref="AD10:AD32" si="3">AC10*3600000</f>
        <v>0</v>
      </c>
      <c r="AE10" s="7"/>
      <c r="AF10" s="7"/>
      <c r="AG10" s="147" t="s">
        <v>609</v>
      </c>
      <c r="AH10" s="7">
        <f t="shared" si="0"/>
        <v>2694243</v>
      </c>
      <c r="AI10" s="7"/>
      <c r="AJ10" s="1" t="s">
        <v>20</v>
      </c>
      <c r="AK10" s="2"/>
      <c r="AL10" s="3" t="s">
        <v>2170</v>
      </c>
      <c r="AM10" s="4" t="s">
        <v>92</v>
      </c>
      <c r="AN10" s="143" t="s">
        <v>2178</v>
      </c>
      <c r="AO10" s="24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</row>
    <row r="11" spans="1:55" s="13" customFormat="1" ht="15.75" customHeight="1" x14ac:dyDescent="0.25">
      <c r="A11" s="1" t="s">
        <v>21</v>
      </c>
      <c r="B11" s="2"/>
      <c r="C11" s="3" t="s">
        <v>2171</v>
      </c>
      <c r="D11" s="4" t="s">
        <v>161</v>
      </c>
      <c r="E11" s="143" t="s">
        <v>448</v>
      </c>
      <c r="F11" s="14" t="s">
        <v>735</v>
      </c>
      <c r="G11" s="14" t="s">
        <v>736</v>
      </c>
      <c r="H11" s="208" t="s">
        <v>1489</v>
      </c>
      <c r="I11" s="7">
        <f t="shared" si="1"/>
        <v>5124000</v>
      </c>
      <c r="J11" s="15">
        <v>4.88</v>
      </c>
      <c r="K11" s="9">
        <v>1050000</v>
      </c>
      <c r="L11" s="7">
        <v>500000</v>
      </c>
      <c r="M11" s="7"/>
      <c r="N11" s="10">
        <v>19000000</v>
      </c>
      <c r="O11" s="7">
        <v>3</v>
      </c>
      <c r="P11" s="9"/>
      <c r="Q11" s="9"/>
      <c r="R11" s="7">
        <f t="shared" ref="R11:R32" si="4">INT((N11*O11/30))</f>
        <v>1900000</v>
      </c>
      <c r="S11" s="7"/>
      <c r="T11" s="7"/>
      <c r="U11" s="7"/>
      <c r="V11" s="7"/>
      <c r="W11" s="7"/>
      <c r="X11" s="7">
        <f t="shared" si="2"/>
        <v>449920</v>
      </c>
      <c r="Y11" s="7">
        <f>INT((I11+L11)*1.5%)</f>
        <v>84360</v>
      </c>
      <c r="Z11" s="7">
        <f>INT(I11*0.01)</f>
        <v>51240</v>
      </c>
      <c r="AA11" s="7">
        <f>INT(I11+L11)*0.01</f>
        <v>56240</v>
      </c>
      <c r="AB11" s="7">
        <v>9000000</v>
      </c>
      <c r="AC11" s="7">
        <v>2</v>
      </c>
      <c r="AD11" s="7">
        <f t="shared" si="3"/>
        <v>7200000</v>
      </c>
      <c r="AE11" s="7"/>
      <c r="AF11" s="7"/>
      <c r="AG11" s="147" t="s">
        <v>609</v>
      </c>
      <c r="AH11" s="7">
        <f t="shared" si="0"/>
        <v>1258240</v>
      </c>
      <c r="AI11" s="7"/>
      <c r="AJ11" s="1" t="s">
        <v>21</v>
      </c>
      <c r="AK11" s="2"/>
      <c r="AL11" s="3" t="s">
        <v>2171</v>
      </c>
      <c r="AM11" s="4" t="s">
        <v>161</v>
      </c>
      <c r="AN11" s="143" t="s">
        <v>448</v>
      </c>
      <c r="AO11" s="24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</row>
    <row r="12" spans="1:55" s="13" customFormat="1" ht="15" customHeight="1" x14ac:dyDescent="0.25">
      <c r="A12" s="1" t="s">
        <v>22</v>
      </c>
      <c r="B12" s="2"/>
      <c r="C12" s="162" t="s">
        <v>2172</v>
      </c>
      <c r="D12" s="163" t="s">
        <v>95</v>
      </c>
      <c r="E12" s="143" t="s">
        <v>794</v>
      </c>
      <c r="F12" s="176" t="s">
        <v>400</v>
      </c>
      <c r="G12" s="176" t="s">
        <v>401</v>
      </c>
      <c r="H12" s="253" t="s">
        <v>1314</v>
      </c>
      <c r="I12" s="7">
        <f t="shared" si="1"/>
        <v>4872000</v>
      </c>
      <c r="J12" s="15">
        <v>4.6399999999999997</v>
      </c>
      <c r="K12" s="7">
        <v>1050000</v>
      </c>
      <c r="L12" s="7">
        <v>500000</v>
      </c>
      <c r="M12" s="7"/>
      <c r="N12" s="10">
        <v>19000000</v>
      </c>
      <c r="O12" s="7">
        <v>3</v>
      </c>
      <c r="P12" s="7"/>
      <c r="Q12" s="7"/>
      <c r="R12" s="7">
        <f>INT((N12*O12/30))*0.85</f>
        <v>1615000</v>
      </c>
      <c r="S12" s="7"/>
      <c r="T12" s="7"/>
      <c r="U12" s="7"/>
      <c r="V12" s="7"/>
      <c r="W12" s="7"/>
      <c r="X12" s="7">
        <f t="shared" si="2"/>
        <v>429760</v>
      </c>
      <c r="Y12" s="7">
        <f>INT((I12+L12)*1.5%)</f>
        <v>80580</v>
      </c>
      <c r="Z12" s="7">
        <f>INT(I12*0.01)</f>
        <v>48720</v>
      </c>
      <c r="AA12" s="7">
        <f>INT(I12+L12)*0.01</f>
        <v>53720</v>
      </c>
      <c r="AB12" s="7">
        <v>9000000</v>
      </c>
      <c r="AC12" s="7">
        <v>2</v>
      </c>
      <c r="AD12" s="7">
        <f t="shared" si="3"/>
        <v>7200000</v>
      </c>
      <c r="AE12" s="7"/>
      <c r="AF12" s="7"/>
      <c r="AG12" s="147" t="s">
        <v>609</v>
      </c>
      <c r="AH12" s="7">
        <f t="shared" si="0"/>
        <v>1002220</v>
      </c>
      <c r="AI12" s="5"/>
      <c r="AJ12" s="1" t="s">
        <v>22</v>
      </c>
      <c r="AK12" s="2"/>
      <c r="AL12" s="162" t="s">
        <v>2172</v>
      </c>
      <c r="AM12" s="163" t="s">
        <v>95</v>
      </c>
      <c r="AN12" s="143" t="s">
        <v>794</v>
      </c>
      <c r="AO12" s="13" t="s">
        <v>2187</v>
      </c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</row>
    <row r="13" spans="1:55" s="13" customFormat="1" ht="18.899999999999999" customHeight="1" x14ac:dyDescent="0.25">
      <c r="A13" s="1" t="s">
        <v>23</v>
      </c>
      <c r="B13" s="2"/>
      <c r="C13" s="3" t="s">
        <v>2173</v>
      </c>
      <c r="D13" s="4" t="s">
        <v>2161</v>
      </c>
      <c r="E13" s="5" t="s">
        <v>128</v>
      </c>
      <c r="F13" s="14" t="s">
        <v>276</v>
      </c>
      <c r="G13" s="23" t="s">
        <v>277</v>
      </c>
      <c r="H13" s="204" t="s">
        <v>1493</v>
      </c>
      <c r="I13" s="7">
        <f t="shared" si="1"/>
        <v>4872000</v>
      </c>
      <c r="J13" s="18">
        <v>4.6399999999999997</v>
      </c>
      <c r="K13" s="7">
        <v>1050000</v>
      </c>
      <c r="L13" s="7"/>
      <c r="M13" s="7"/>
      <c r="N13" s="10">
        <v>14000000</v>
      </c>
      <c r="O13" s="7">
        <v>3</v>
      </c>
      <c r="P13" s="7"/>
      <c r="Q13" s="7"/>
      <c r="R13" s="7">
        <f t="shared" si="4"/>
        <v>1400000</v>
      </c>
      <c r="S13" s="7"/>
      <c r="T13" s="7"/>
      <c r="U13" s="7"/>
      <c r="V13" s="7"/>
      <c r="W13" s="7"/>
      <c r="X13" s="7">
        <f t="shared" ref="X13" si="5">+INT((I13+L13)*8%)</f>
        <v>389760</v>
      </c>
      <c r="Y13" s="7">
        <f>INT((I13+L13)*1.5%)</f>
        <v>73080</v>
      </c>
      <c r="Z13" s="7">
        <f>INT(I13*1%)</f>
        <v>48720</v>
      </c>
      <c r="AA13" s="19">
        <f>INT((I13+L13)*0.01)</f>
        <v>48720</v>
      </c>
      <c r="AB13" s="7">
        <v>9000000</v>
      </c>
      <c r="AC13" s="97"/>
      <c r="AD13" s="7">
        <f t="shared" si="3"/>
        <v>0</v>
      </c>
      <c r="AE13" s="7"/>
      <c r="AF13" s="7"/>
      <c r="AG13" s="147" t="s">
        <v>609</v>
      </c>
      <c r="AH13" s="7">
        <f t="shared" si="0"/>
        <v>839720</v>
      </c>
      <c r="AI13" s="7"/>
      <c r="AJ13" s="1" t="s">
        <v>23</v>
      </c>
      <c r="AK13" s="2"/>
      <c r="AL13" s="3" t="s">
        <v>2173</v>
      </c>
      <c r="AM13" s="4" t="s">
        <v>2161</v>
      </c>
      <c r="AN13" s="5" t="s">
        <v>128</v>
      </c>
      <c r="AO13" s="24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</row>
    <row r="14" spans="1:55" s="13" customFormat="1" ht="18.899999999999999" customHeight="1" x14ac:dyDescent="0.25">
      <c r="A14" s="1" t="s">
        <v>24</v>
      </c>
      <c r="B14" s="2"/>
      <c r="C14" s="3" t="s">
        <v>166</v>
      </c>
      <c r="D14" s="4" t="s">
        <v>145</v>
      </c>
      <c r="E14" s="5" t="s">
        <v>172</v>
      </c>
      <c r="F14" s="14" t="s">
        <v>772</v>
      </c>
      <c r="G14" s="23" t="s">
        <v>768</v>
      </c>
      <c r="H14" s="204" t="s">
        <v>1465</v>
      </c>
      <c r="I14" s="7">
        <f t="shared" si="1"/>
        <v>6037500</v>
      </c>
      <c r="J14" s="8">
        <v>5.75</v>
      </c>
      <c r="K14" s="9">
        <v>1050000</v>
      </c>
      <c r="L14" s="7">
        <v>1000000</v>
      </c>
      <c r="M14" s="7"/>
      <c r="N14" s="10">
        <v>34000000</v>
      </c>
      <c r="O14" s="7">
        <v>3</v>
      </c>
      <c r="P14" s="7"/>
      <c r="Q14" s="7"/>
      <c r="R14" s="7">
        <f t="shared" si="4"/>
        <v>3400000</v>
      </c>
      <c r="S14" s="7"/>
      <c r="T14" s="7"/>
      <c r="U14" s="7"/>
      <c r="V14" s="7"/>
      <c r="W14" s="7"/>
      <c r="X14" s="7">
        <f t="shared" ref="X14:X15" si="6">INT((I14+L14)*8%)</f>
        <v>563000</v>
      </c>
      <c r="Y14" s="7">
        <f t="shared" ref="Y14:Y15" si="7">INT((I14+L14)*1.5%)</f>
        <v>105562</v>
      </c>
      <c r="Z14" s="7">
        <f>INT(I14*1%)</f>
        <v>60375</v>
      </c>
      <c r="AA14" s="19">
        <f t="shared" ref="AA14:AA15" si="8">INT((I14+L14)*0.01)</f>
        <v>70375</v>
      </c>
      <c r="AB14" s="7">
        <v>9000000</v>
      </c>
      <c r="AC14" s="7"/>
      <c r="AD14" s="7">
        <f t="shared" si="3"/>
        <v>0</v>
      </c>
      <c r="AE14" s="7"/>
      <c r="AF14" s="7"/>
      <c r="AG14" s="147" t="s">
        <v>609</v>
      </c>
      <c r="AH14" s="7">
        <f t="shared" si="0"/>
        <v>2600688</v>
      </c>
      <c r="AI14" s="7"/>
      <c r="AJ14" s="1" t="s">
        <v>24</v>
      </c>
      <c r="AK14" s="2"/>
      <c r="AL14" s="3" t="s">
        <v>166</v>
      </c>
      <c r="AM14" s="4" t="s">
        <v>145</v>
      </c>
      <c r="AN14" s="5" t="s">
        <v>172</v>
      </c>
      <c r="AO14" s="24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</row>
    <row r="15" spans="1:55" s="13" customFormat="1" ht="26.4" x14ac:dyDescent="0.25">
      <c r="A15" s="1" t="s">
        <v>25</v>
      </c>
      <c r="B15" s="2"/>
      <c r="C15" s="16" t="s">
        <v>131</v>
      </c>
      <c r="D15" s="22" t="s">
        <v>130</v>
      </c>
      <c r="E15" s="143" t="s">
        <v>2176</v>
      </c>
      <c r="F15" s="23" t="s">
        <v>246</v>
      </c>
      <c r="G15" s="23" t="s">
        <v>247</v>
      </c>
      <c r="H15" s="204" t="s">
        <v>1272</v>
      </c>
      <c r="I15" s="7">
        <f t="shared" si="1"/>
        <v>5680500</v>
      </c>
      <c r="J15" s="8">
        <v>5.41</v>
      </c>
      <c r="K15" s="9">
        <v>1050000</v>
      </c>
      <c r="L15" s="7">
        <v>500000</v>
      </c>
      <c r="M15" s="7"/>
      <c r="N15" s="10">
        <v>34000000</v>
      </c>
      <c r="O15" s="7">
        <v>3</v>
      </c>
      <c r="P15" s="7"/>
      <c r="Q15" s="7"/>
      <c r="R15" s="7">
        <f>INT((N15*O15/30))*0.85</f>
        <v>2890000</v>
      </c>
      <c r="S15" s="7"/>
      <c r="T15" s="7"/>
      <c r="U15" s="7"/>
      <c r="V15" s="7"/>
      <c r="W15" s="7"/>
      <c r="X15" s="7">
        <f t="shared" si="6"/>
        <v>494440</v>
      </c>
      <c r="Y15" s="7">
        <f t="shared" si="7"/>
        <v>92707</v>
      </c>
      <c r="Z15" s="7">
        <f>INT(I15*1%)</f>
        <v>56805</v>
      </c>
      <c r="AA15" s="19">
        <f t="shared" si="8"/>
        <v>61805</v>
      </c>
      <c r="AB15" s="7">
        <v>9000000</v>
      </c>
      <c r="AC15" s="7"/>
      <c r="AD15" s="7">
        <f t="shared" si="3"/>
        <v>0</v>
      </c>
      <c r="AE15" s="7"/>
      <c r="AF15" s="7"/>
      <c r="AG15" s="147" t="s">
        <v>609</v>
      </c>
      <c r="AH15" s="7">
        <f t="shared" si="0"/>
        <v>2184243</v>
      </c>
      <c r="AI15" s="7"/>
      <c r="AJ15" s="1" t="s">
        <v>25</v>
      </c>
      <c r="AK15" s="2"/>
      <c r="AL15" s="16" t="s">
        <v>131</v>
      </c>
      <c r="AM15" s="22" t="s">
        <v>130</v>
      </c>
      <c r="AN15" s="143" t="s">
        <v>2176</v>
      </c>
      <c r="AO15" s="24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</row>
    <row r="16" spans="1:55" s="13" customFormat="1" ht="13.2" x14ac:dyDescent="0.25">
      <c r="A16" s="1" t="s">
        <v>26</v>
      </c>
      <c r="B16" s="2"/>
      <c r="C16" s="16" t="s">
        <v>2174</v>
      </c>
      <c r="D16" s="22" t="s">
        <v>2175</v>
      </c>
      <c r="E16" s="5" t="s">
        <v>556</v>
      </c>
      <c r="F16" s="148" t="s">
        <v>464</v>
      </c>
      <c r="G16" s="6" t="s">
        <v>465</v>
      </c>
      <c r="H16" s="207" t="s">
        <v>1254</v>
      </c>
      <c r="I16" s="7">
        <f>J16*K16</f>
        <v>5124000</v>
      </c>
      <c r="J16" s="8">
        <v>4.88</v>
      </c>
      <c r="K16" s="9">
        <v>1050000</v>
      </c>
      <c r="L16" s="7">
        <v>500000</v>
      </c>
      <c r="M16" s="7"/>
      <c r="N16" s="10">
        <v>19000000</v>
      </c>
      <c r="O16" s="7">
        <v>3</v>
      </c>
      <c r="P16" s="7"/>
      <c r="Q16" s="7"/>
      <c r="R16" s="7">
        <f t="shared" si="4"/>
        <v>1900000</v>
      </c>
      <c r="S16" s="7"/>
      <c r="T16" s="7"/>
      <c r="U16" s="7"/>
      <c r="V16" s="7"/>
      <c r="W16" s="7"/>
      <c r="X16" s="7">
        <f>INT((I16+L16)*8%)</f>
        <v>449920</v>
      </c>
      <c r="Y16" s="7">
        <f>INT((I16+L16)*1.5%)</f>
        <v>84360</v>
      </c>
      <c r="Z16" s="7">
        <f>INT((I16)*1%)</f>
        <v>51240</v>
      </c>
      <c r="AA16" s="7">
        <f>INT((I16+L16)*0.01)</f>
        <v>56240</v>
      </c>
      <c r="AB16" s="7">
        <v>9000000</v>
      </c>
      <c r="AC16" s="7">
        <v>3</v>
      </c>
      <c r="AD16" s="7">
        <f>AC16*3600000</f>
        <v>10800000</v>
      </c>
      <c r="AE16" s="7"/>
      <c r="AF16" s="7"/>
      <c r="AG16" s="147" t="s">
        <v>609</v>
      </c>
      <c r="AH16" s="7">
        <f>R16-X16-Y16-Z16-AA16-AG16</f>
        <v>1258240</v>
      </c>
      <c r="AI16" s="7"/>
      <c r="AJ16" s="1" t="s">
        <v>26</v>
      </c>
      <c r="AK16" s="2"/>
      <c r="AL16" s="16" t="s">
        <v>2174</v>
      </c>
      <c r="AM16" s="22" t="s">
        <v>2175</v>
      </c>
      <c r="AN16" s="5" t="s">
        <v>556</v>
      </c>
      <c r="AO16" s="24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</row>
    <row r="17" spans="1:54" s="13" customFormat="1" ht="13.2" x14ac:dyDescent="0.25">
      <c r="A17" s="1" t="s">
        <v>27</v>
      </c>
      <c r="B17" s="2"/>
      <c r="C17" s="3" t="s">
        <v>2177</v>
      </c>
      <c r="D17" s="4" t="s">
        <v>67</v>
      </c>
      <c r="E17" s="143" t="s">
        <v>106</v>
      </c>
      <c r="F17" s="6" t="s">
        <v>408</v>
      </c>
      <c r="G17" s="6" t="s">
        <v>409</v>
      </c>
      <c r="H17" s="207" t="s">
        <v>1479</v>
      </c>
      <c r="I17" s="7">
        <f>J17*K17</f>
        <v>4872000</v>
      </c>
      <c r="J17" s="18">
        <v>4.6399999999999997</v>
      </c>
      <c r="K17" s="7">
        <v>1050000</v>
      </c>
      <c r="L17" s="7">
        <v>500000</v>
      </c>
      <c r="M17" s="7"/>
      <c r="N17" s="10">
        <v>14000000</v>
      </c>
      <c r="O17" s="7">
        <v>3</v>
      </c>
      <c r="P17" s="7"/>
      <c r="Q17" s="7"/>
      <c r="R17" s="7">
        <f t="shared" si="4"/>
        <v>1400000</v>
      </c>
      <c r="S17" s="7"/>
      <c r="T17" s="7"/>
      <c r="U17" s="7"/>
      <c r="V17" s="7"/>
      <c r="W17" s="7"/>
      <c r="X17" s="26">
        <f t="shared" si="2"/>
        <v>429760</v>
      </c>
      <c r="Y17" s="7">
        <f t="shared" ref="Y17:Y25" si="9">INT((I17+L17)*1.5%)</f>
        <v>80580</v>
      </c>
      <c r="Z17" s="7">
        <f>INT(I17*0.01)</f>
        <v>48720</v>
      </c>
      <c r="AA17" s="7">
        <f>INT((I17+L17)*1%)</f>
        <v>53720</v>
      </c>
      <c r="AB17" s="7">
        <v>9000000</v>
      </c>
      <c r="AC17" s="10"/>
      <c r="AD17" s="7">
        <f t="shared" si="3"/>
        <v>0</v>
      </c>
      <c r="AE17" s="7"/>
      <c r="AF17" s="7"/>
      <c r="AG17" s="147" t="s">
        <v>609</v>
      </c>
      <c r="AH17" s="7">
        <f t="shared" si="0"/>
        <v>787220</v>
      </c>
      <c r="AI17" s="7"/>
      <c r="AJ17" s="1" t="s">
        <v>27</v>
      </c>
      <c r="AK17" s="2"/>
      <c r="AL17" s="3" t="s">
        <v>2177</v>
      </c>
      <c r="AM17" s="4" t="s">
        <v>67</v>
      </c>
      <c r="AN17" s="143" t="s">
        <v>106</v>
      </c>
      <c r="AO17" s="24"/>
      <c r="BA17" s="12"/>
      <c r="BB17" s="12"/>
    </row>
    <row r="18" spans="1:54" s="13" customFormat="1" ht="13.2" x14ac:dyDescent="0.25">
      <c r="A18" s="1" t="s">
        <v>28</v>
      </c>
      <c r="B18" s="2"/>
      <c r="C18" s="3" t="s">
        <v>458</v>
      </c>
      <c r="D18" s="4" t="s">
        <v>459</v>
      </c>
      <c r="E18" s="5" t="s">
        <v>78</v>
      </c>
      <c r="F18" s="14" t="s">
        <v>387</v>
      </c>
      <c r="G18" s="14" t="s">
        <v>388</v>
      </c>
      <c r="H18" s="208" t="s">
        <v>1227</v>
      </c>
      <c r="I18" s="7">
        <v>4000000</v>
      </c>
      <c r="J18" s="8">
        <v>3.49</v>
      </c>
      <c r="K18" s="9">
        <v>1050000</v>
      </c>
      <c r="L18" s="7"/>
      <c r="M18" s="7"/>
      <c r="N18" s="10">
        <v>11500000</v>
      </c>
      <c r="O18" s="7">
        <v>3</v>
      </c>
      <c r="P18" s="9"/>
      <c r="Q18" s="9"/>
      <c r="R18" s="7">
        <f t="shared" si="4"/>
        <v>1150000</v>
      </c>
      <c r="S18" s="7"/>
      <c r="T18" s="7"/>
      <c r="U18" s="7"/>
      <c r="V18" s="7"/>
      <c r="W18" s="7"/>
      <c r="X18" s="7">
        <f t="shared" si="2"/>
        <v>320000</v>
      </c>
      <c r="Y18" s="7">
        <f t="shared" si="9"/>
        <v>60000</v>
      </c>
      <c r="Z18" s="7">
        <f>INT(I18*1%)</f>
        <v>40000</v>
      </c>
      <c r="AA18" s="19">
        <f>INT((I18+L18)*0.01)</f>
        <v>40000</v>
      </c>
      <c r="AB18" s="7">
        <v>9000000</v>
      </c>
      <c r="AC18" s="32"/>
      <c r="AD18" s="7">
        <f t="shared" si="3"/>
        <v>0</v>
      </c>
      <c r="AE18" s="7"/>
      <c r="AF18" s="7"/>
      <c r="AG18" s="147" t="s">
        <v>609</v>
      </c>
      <c r="AH18" s="7">
        <f t="shared" si="0"/>
        <v>690000</v>
      </c>
      <c r="AI18" s="7"/>
      <c r="AJ18" s="1" t="s">
        <v>28</v>
      </c>
      <c r="AK18" s="2"/>
      <c r="AL18" s="3" t="s">
        <v>458</v>
      </c>
      <c r="AM18" s="4" t="s">
        <v>459</v>
      </c>
      <c r="AN18" s="5" t="s">
        <v>78</v>
      </c>
      <c r="AO18" s="24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</row>
    <row r="19" spans="1:54" s="13" customFormat="1" ht="13.2" x14ac:dyDescent="0.25">
      <c r="A19" s="1" t="s">
        <v>30</v>
      </c>
      <c r="B19" s="2"/>
      <c r="C19" s="16" t="s">
        <v>2179</v>
      </c>
      <c r="D19" s="22" t="s">
        <v>582</v>
      </c>
      <c r="E19" s="5" t="s">
        <v>90</v>
      </c>
      <c r="F19" s="6" t="s">
        <v>599</v>
      </c>
      <c r="G19" s="6" t="s">
        <v>600</v>
      </c>
      <c r="H19" s="204" t="s">
        <v>981</v>
      </c>
      <c r="I19" s="7">
        <v>4000000</v>
      </c>
      <c r="J19" s="18">
        <v>3.49</v>
      </c>
      <c r="K19" s="7">
        <v>1050000</v>
      </c>
      <c r="L19" s="7">
        <v>0</v>
      </c>
      <c r="M19" s="7"/>
      <c r="N19" s="10">
        <v>10000000</v>
      </c>
      <c r="O19" s="7">
        <v>3</v>
      </c>
      <c r="P19" s="7"/>
      <c r="Q19" s="7"/>
      <c r="R19" s="7">
        <f t="shared" si="4"/>
        <v>1000000</v>
      </c>
      <c r="S19" s="7"/>
      <c r="T19" s="7"/>
      <c r="U19" s="7"/>
      <c r="V19" s="7"/>
      <c r="W19" s="7"/>
      <c r="X19" s="26">
        <f t="shared" si="2"/>
        <v>320000</v>
      </c>
      <c r="Y19" s="7">
        <f t="shared" si="9"/>
        <v>60000</v>
      </c>
      <c r="Z19" s="7">
        <f>INT(I19*1%)</f>
        <v>40000</v>
      </c>
      <c r="AA19" s="7">
        <f>INT((I19+L19)*0.01)</f>
        <v>40000</v>
      </c>
      <c r="AB19" s="7">
        <v>9000000</v>
      </c>
      <c r="AC19" s="10">
        <v>2</v>
      </c>
      <c r="AD19" s="7">
        <f t="shared" si="3"/>
        <v>7200000</v>
      </c>
      <c r="AE19" s="7"/>
      <c r="AF19" s="7"/>
      <c r="AG19" s="147" t="s">
        <v>609</v>
      </c>
      <c r="AH19" s="7">
        <f t="shared" si="0"/>
        <v>540000</v>
      </c>
      <c r="AI19" s="7"/>
      <c r="AJ19" s="1" t="s">
        <v>30</v>
      </c>
      <c r="AK19" s="2"/>
      <c r="AL19" s="16" t="s">
        <v>2179</v>
      </c>
      <c r="AM19" s="22" t="s">
        <v>582</v>
      </c>
      <c r="AN19" s="5" t="s">
        <v>90</v>
      </c>
      <c r="AO19" s="24"/>
      <c r="BA19" s="12"/>
      <c r="BB19" s="12"/>
    </row>
    <row r="20" spans="1:54" s="13" customFormat="1" ht="13.2" x14ac:dyDescent="0.25">
      <c r="A20" s="1" t="s">
        <v>32</v>
      </c>
      <c r="B20" s="2"/>
      <c r="C20" s="16" t="s">
        <v>2180</v>
      </c>
      <c r="D20" s="22" t="s">
        <v>641</v>
      </c>
      <c r="E20" s="5" t="s">
        <v>90</v>
      </c>
      <c r="F20" s="6" t="s">
        <v>599</v>
      </c>
      <c r="G20" s="6" t="s">
        <v>600</v>
      </c>
      <c r="H20" s="204" t="s">
        <v>981</v>
      </c>
      <c r="I20" s="7">
        <v>4000000</v>
      </c>
      <c r="J20" s="18">
        <v>3.49</v>
      </c>
      <c r="K20" s="7">
        <v>1050000</v>
      </c>
      <c r="L20" s="7">
        <v>0</v>
      </c>
      <c r="M20" s="7"/>
      <c r="N20" s="10">
        <v>10000000</v>
      </c>
      <c r="O20" s="7">
        <v>3</v>
      </c>
      <c r="P20" s="7"/>
      <c r="Q20" s="7"/>
      <c r="R20" s="7">
        <f t="shared" si="4"/>
        <v>1000000</v>
      </c>
      <c r="S20" s="7"/>
      <c r="T20" s="7"/>
      <c r="U20" s="7"/>
      <c r="V20" s="7"/>
      <c r="W20" s="7"/>
      <c r="X20" s="26">
        <f t="shared" si="2"/>
        <v>320000</v>
      </c>
      <c r="Y20" s="7">
        <f t="shared" si="9"/>
        <v>60000</v>
      </c>
      <c r="Z20" s="7">
        <f>INT(I20*1%)</f>
        <v>40000</v>
      </c>
      <c r="AA20" s="7">
        <f>INT((I20+L20)*0.01)</f>
        <v>40000</v>
      </c>
      <c r="AB20" s="7">
        <v>9000000</v>
      </c>
      <c r="AC20" s="10">
        <v>2</v>
      </c>
      <c r="AD20" s="7">
        <f t="shared" si="3"/>
        <v>7200000</v>
      </c>
      <c r="AE20" s="7"/>
      <c r="AF20" s="7"/>
      <c r="AG20" s="147" t="s">
        <v>609</v>
      </c>
      <c r="AH20" s="7">
        <f t="shared" si="0"/>
        <v>540000</v>
      </c>
      <c r="AI20" s="7"/>
      <c r="AJ20" s="1" t="s">
        <v>32</v>
      </c>
      <c r="AK20" s="2"/>
      <c r="AL20" s="16" t="s">
        <v>2180</v>
      </c>
      <c r="AM20" s="22" t="s">
        <v>641</v>
      </c>
      <c r="AN20" s="5" t="s">
        <v>90</v>
      </c>
      <c r="AO20" s="24"/>
      <c r="BA20" s="12"/>
      <c r="BB20" s="12"/>
    </row>
    <row r="21" spans="1:54" s="13" customFormat="1" ht="26.4" x14ac:dyDescent="0.25">
      <c r="A21" s="1" t="s">
        <v>29</v>
      </c>
      <c r="B21" s="2"/>
      <c r="C21" s="16" t="s">
        <v>2181</v>
      </c>
      <c r="D21" s="17" t="s">
        <v>474</v>
      </c>
      <c r="E21" s="143" t="s">
        <v>2182</v>
      </c>
      <c r="F21" s="6" t="s">
        <v>510</v>
      </c>
      <c r="G21" s="6" t="s">
        <v>513</v>
      </c>
      <c r="H21" s="204" t="s">
        <v>1495</v>
      </c>
      <c r="I21" s="7">
        <f>J21*K21</f>
        <v>4872000</v>
      </c>
      <c r="J21" s="18">
        <v>4.6399999999999997</v>
      </c>
      <c r="K21" s="7">
        <v>1050000</v>
      </c>
      <c r="L21" s="7">
        <v>500000</v>
      </c>
      <c r="M21" s="7"/>
      <c r="N21" s="10">
        <v>14000000</v>
      </c>
      <c r="O21" s="7">
        <v>3</v>
      </c>
      <c r="P21" s="7"/>
      <c r="Q21" s="7"/>
      <c r="R21" s="7">
        <f>INT((N21*O21/30))*0.85</f>
        <v>1190000</v>
      </c>
      <c r="S21" s="7"/>
      <c r="T21" s="7"/>
      <c r="U21" s="7"/>
      <c r="V21" s="7"/>
      <c r="W21" s="7"/>
      <c r="X21" s="26">
        <f t="shared" si="2"/>
        <v>429760</v>
      </c>
      <c r="Y21" s="7">
        <f t="shared" si="9"/>
        <v>80580</v>
      </c>
      <c r="Z21" s="7">
        <f>INT(I21*0.01)</f>
        <v>48720</v>
      </c>
      <c r="AA21" s="7">
        <f>INT((I21+L21)*1%)</f>
        <v>53720</v>
      </c>
      <c r="AB21" s="7">
        <v>9000000</v>
      </c>
      <c r="AC21" s="10"/>
      <c r="AD21" s="7">
        <f t="shared" si="3"/>
        <v>0</v>
      </c>
      <c r="AE21" s="7"/>
      <c r="AF21" s="7"/>
      <c r="AG21" s="147" t="s">
        <v>609</v>
      </c>
      <c r="AH21" s="7">
        <f t="shared" si="0"/>
        <v>577220</v>
      </c>
      <c r="AI21" s="7"/>
      <c r="AJ21" s="1" t="s">
        <v>29</v>
      </c>
      <c r="AK21" s="2"/>
      <c r="AL21" s="16" t="s">
        <v>2181</v>
      </c>
      <c r="AM21" s="17" t="s">
        <v>474</v>
      </c>
      <c r="AN21" s="143" t="s">
        <v>2182</v>
      </c>
      <c r="AO21" s="24"/>
    </row>
    <row r="22" spans="1:54" s="13" customFormat="1" ht="26.4" x14ac:dyDescent="0.25">
      <c r="A22" s="1" t="s">
        <v>31</v>
      </c>
      <c r="B22" s="2"/>
      <c r="C22" s="3" t="s">
        <v>2157</v>
      </c>
      <c r="D22" s="4" t="s">
        <v>51</v>
      </c>
      <c r="E22" s="143" t="s">
        <v>2182</v>
      </c>
      <c r="F22" s="14" t="s">
        <v>355</v>
      </c>
      <c r="G22" s="14" t="s">
        <v>356</v>
      </c>
      <c r="H22" s="208" t="s">
        <v>1470</v>
      </c>
      <c r="I22" s="7">
        <f>J22*K22</f>
        <v>4872000</v>
      </c>
      <c r="J22" s="18">
        <v>4.6399999999999997</v>
      </c>
      <c r="K22" s="7">
        <v>1050000</v>
      </c>
      <c r="L22" s="7">
        <v>500000</v>
      </c>
      <c r="M22" s="7"/>
      <c r="N22" s="10">
        <v>14000000</v>
      </c>
      <c r="O22" s="7">
        <v>3</v>
      </c>
      <c r="P22" s="7"/>
      <c r="Q22" s="7"/>
      <c r="R22" s="7">
        <f>INT((N22*O22/30))*0.85</f>
        <v>1190000</v>
      </c>
      <c r="S22" s="7"/>
      <c r="T22" s="7"/>
      <c r="U22" s="7"/>
      <c r="V22" s="7"/>
      <c r="W22" s="7"/>
      <c r="X22" s="7">
        <f t="shared" si="2"/>
        <v>429760</v>
      </c>
      <c r="Y22" s="7">
        <f t="shared" si="9"/>
        <v>80580</v>
      </c>
      <c r="Z22" s="7">
        <f>INT((I22)*1%)</f>
        <v>48720</v>
      </c>
      <c r="AA22" s="19">
        <f t="shared" ref="AA22:AA32" si="10">INT((I22+L22)*0.01)</f>
        <v>53720</v>
      </c>
      <c r="AB22" s="7">
        <v>9000000</v>
      </c>
      <c r="AC22" s="7"/>
      <c r="AD22" s="7">
        <f t="shared" si="3"/>
        <v>0</v>
      </c>
      <c r="AE22" s="7"/>
      <c r="AF22" s="7"/>
      <c r="AG22" s="147" t="s">
        <v>609</v>
      </c>
      <c r="AH22" s="7">
        <f t="shared" si="0"/>
        <v>577220</v>
      </c>
      <c r="AI22" s="7"/>
      <c r="AJ22" s="1" t="s">
        <v>31</v>
      </c>
      <c r="AK22" s="2"/>
      <c r="AL22" s="3" t="s">
        <v>2157</v>
      </c>
      <c r="AM22" s="4" t="s">
        <v>51</v>
      </c>
      <c r="AN22" s="143" t="s">
        <v>2182</v>
      </c>
      <c r="AO22" s="24"/>
      <c r="AP22" s="24"/>
      <c r="AQ22" s="24"/>
      <c r="AR22" s="24"/>
      <c r="AS22" s="24"/>
      <c r="AT22" s="24"/>
      <c r="AU22" s="24"/>
      <c r="AV22" s="24"/>
      <c r="AW22" s="24"/>
      <c r="AX22" s="12"/>
      <c r="AY22" s="12"/>
      <c r="AZ22" s="12"/>
      <c r="BA22" s="12"/>
    </row>
    <row r="23" spans="1:54" s="13" customFormat="1" ht="13.2" x14ac:dyDescent="0.25">
      <c r="A23" s="1" t="s">
        <v>35</v>
      </c>
      <c r="B23" s="2"/>
      <c r="C23" s="3" t="s">
        <v>2183</v>
      </c>
      <c r="D23" s="4" t="s">
        <v>6</v>
      </c>
      <c r="E23" s="5" t="s">
        <v>107</v>
      </c>
      <c r="F23" s="14" t="s">
        <v>741</v>
      </c>
      <c r="G23" s="14">
        <v>186399138</v>
      </c>
      <c r="H23" s="208" t="s">
        <v>1107</v>
      </c>
      <c r="I23" s="7">
        <v>4000000</v>
      </c>
      <c r="J23" s="18">
        <v>3.25</v>
      </c>
      <c r="K23" s="9">
        <v>1050000</v>
      </c>
      <c r="L23" s="19"/>
      <c r="M23" s="7"/>
      <c r="N23" s="10">
        <v>9000000</v>
      </c>
      <c r="O23" s="7">
        <v>3</v>
      </c>
      <c r="P23" s="7"/>
      <c r="Q23" s="7"/>
      <c r="R23" s="7">
        <f t="shared" si="4"/>
        <v>900000</v>
      </c>
      <c r="S23" s="7"/>
      <c r="T23" s="7"/>
      <c r="U23" s="7"/>
      <c r="V23" s="7"/>
      <c r="W23" s="7"/>
      <c r="X23" s="7">
        <f t="shared" si="2"/>
        <v>320000</v>
      </c>
      <c r="Y23" s="7">
        <f t="shared" si="9"/>
        <v>60000</v>
      </c>
      <c r="Z23" s="7">
        <f>INT((I23)*1%)</f>
        <v>40000</v>
      </c>
      <c r="AA23" s="19">
        <f t="shared" si="10"/>
        <v>40000</v>
      </c>
      <c r="AB23" s="7">
        <v>9000000</v>
      </c>
      <c r="AC23" s="7"/>
      <c r="AD23" s="7">
        <f t="shared" si="3"/>
        <v>0</v>
      </c>
      <c r="AE23" s="7"/>
      <c r="AF23" s="7"/>
      <c r="AG23" s="147" t="s">
        <v>609</v>
      </c>
      <c r="AH23" s="7">
        <f t="shared" si="0"/>
        <v>440000</v>
      </c>
      <c r="AI23" s="7"/>
      <c r="AJ23" s="1" t="s">
        <v>35</v>
      </c>
      <c r="AK23" s="2"/>
      <c r="AL23" s="3" t="s">
        <v>2183</v>
      </c>
      <c r="AM23" s="4" t="s">
        <v>6</v>
      </c>
      <c r="AN23" s="5" t="s">
        <v>107</v>
      </c>
      <c r="AO23" s="24"/>
      <c r="AP23" s="24"/>
      <c r="AQ23" s="24"/>
      <c r="AR23" s="24"/>
      <c r="AS23" s="24"/>
      <c r="AT23" s="24"/>
      <c r="AU23" s="24"/>
      <c r="AV23" s="24"/>
      <c r="AW23" s="24"/>
      <c r="AX23" s="12"/>
      <c r="AY23" s="12"/>
      <c r="AZ23" s="12"/>
      <c r="BA23" s="12"/>
    </row>
    <row r="24" spans="1:54" s="13" customFormat="1" ht="13.2" x14ac:dyDescent="0.25">
      <c r="A24" s="1" t="s">
        <v>33</v>
      </c>
      <c r="B24" s="2"/>
      <c r="C24" s="16" t="s">
        <v>724</v>
      </c>
      <c r="D24" s="17" t="s">
        <v>725</v>
      </c>
      <c r="E24" s="5" t="s">
        <v>107</v>
      </c>
      <c r="F24" s="6" t="s">
        <v>392</v>
      </c>
      <c r="G24" s="6" t="s">
        <v>393</v>
      </c>
      <c r="H24" s="204" t="s">
        <v>1454</v>
      </c>
      <c r="I24" s="7">
        <v>4000000</v>
      </c>
      <c r="J24" s="18">
        <v>3.25</v>
      </c>
      <c r="K24" s="9">
        <v>1050000</v>
      </c>
      <c r="L24" s="19"/>
      <c r="M24" s="7"/>
      <c r="N24" s="10">
        <v>9000000</v>
      </c>
      <c r="O24" s="7">
        <v>3</v>
      </c>
      <c r="P24" s="7"/>
      <c r="Q24" s="7"/>
      <c r="R24" s="7">
        <f t="shared" si="4"/>
        <v>900000</v>
      </c>
      <c r="S24" s="7"/>
      <c r="T24" s="7"/>
      <c r="U24" s="7"/>
      <c r="V24" s="7"/>
      <c r="W24" s="7"/>
      <c r="X24" s="7">
        <f t="shared" si="2"/>
        <v>320000</v>
      </c>
      <c r="Y24" s="7">
        <f t="shared" si="9"/>
        <v>60000</v>
      </c>
      <c r="Z24" s="7">
        <f>INT((I24)*1%)</f>
        <v>40000</v>
      </c>
      <c r="AA24" s="19">
        <f t="shared" si="10"/>
        <v>40000</v>
      </c>
      <c r="AB24" s="7">
        <v>9000000</v>
      </c>
      <c r="AC24" s="7"/>
      <c r="AD24" s="7">
        <f t="shared" si="3"/>
        <v>0</v>
      </c>
      <c r="AE24" s="7"/>
      <c r="AF24" s="7"/>
      <c r="AG24" s="147" t="s">
        <v>609</v>
      </c>
      <c r="AH24" s="7">
        <f t="shared" si="0"/>
        <v>440000</v>
      </c>
      <c r="AI24" s="7"/>
      <c r="AJ24" s="1" t="s">
        <v>33</v>
      </c>
      <c r="AK24" s="2"/>
      <c r="AL24" s="16" t="s">
        <v>724</v>
      </c>
      <c r="AM24" s="17" t="s">
        <v>725</v>
      </c>
      <c r="AN24" s="5" t="s">
        <v>107</v>
      </c>
      <c r="AO24" s="24"/>
      <c r="AP24" s="24"/>
      <c r="AQ24" s="24"/>
      <c r="AR24" s="24"/>
      <c r="AS24" s="24"/>
      <c r="AT24" s="24"/>
      <c r="AU24" s="24"/>
      <c r="AV24" s="24"/>
      <c r="AW24" s="24"/>
      <c r="AX24" s="12"/>
      <c r="AY24" s="12"/>
      <c r="AZ24" s="12"/>
      <c r="BA24" s="12"/>
    </row>
    <row r="25" spans="1:54" s="13" customFormat="1" ht="13.2" x14ac:dyDescent="0.25">
      <c r="A25" s="1" t="s">
        <v>34</v>
      </c>
      <c r="B25" s="2"/>
      <c r="C25" s="16" t="s">
        <v>2184</v>
      </c>
      <c r="D25" s="17" t="s">
        <v>46</v>
      </c>
      <c r="E25" s="5" t="s">
        <v>94</v>
      </c>
      <c r="F25" s="14" t="s">
        <v>624</v>
      </c>
      <c r="G25" s="14">
        <v>340838037</v>
      </c>
      <c r="H25" s="204" t="s">
        <v>1035</v>
      </c>
      <c r="I25" s="7">
        <f>J25*K25</f>
        <v>4588500</v>
      </c>
      <c r="J25" s="15">
        <v>4.37</v>
      </c>
      <c r="K25" s="9">
        <v>1050000</v>
      </c>
      <c r="L25" s="7"/>
      <c r="M25" s="7"/>
      <c r="N25" s="10">
        <v>11500000</v>
      </c>
      <c r="O25" s="7">
        <v>3</v>
      </c>
      <c r="P25" s="7"/>
      <c r="Q25" s="7"/>
      <c r="R25" s="7">
        <f t="shared" si="4"/>
        <v>1150000</v>
      </c>
      <c r="S25" s="7"/>
      <c r="T25" s="7"/>
      <c r="U25" s="7"/>
      <c r="V25" s="7"/>
      <c r="W25" s="7"/>
      <c r="X25" s="7">
        <f t="shared" si="2"/>
        <v>367080</v>
      </c>
      <c r="Y25" s="7">
        <f t="shared" si="9"/>
        <v>68827</v>
      </c>
      <c r="Z25" s="7">
        <f>INT((I25)*1%)</f>
        <v>45885</v>
      </c>
      <c r="AA25" s="19">
        <f t="shared" si="10"/>
        <v>45885</v>
      </c>
      <c r="AB25" s="7">
        <v>9000000</v>
      </c>
      <c r="AC25" s="7"/>
      <c r="AD25" s="7">
        <f t="shared" si="3"/>
        <v>0</v>
      </c>
      <c r="AE25" s="7"/>
      <c r="AF25" s="7"/>
      <c r="AG25" s="147" t="s">
        <v>609</v>
      </c>
      <c r="AH25" s="7">
        <f t="shared" si="0"/>
        <v>622323</v>
      </c>
      <c r="AI25" s="7"/>
      <c r="AJ25" s="1" t="s">
        <v>34</v>
      </c>
      <c r="AK25" s="2"/>
      <c r="AL25" s="16" t="s">
        <v>2184</v>
      </c>
      <c r="AM25" s="17" t="s">
        <v>46</v>
      </c>
      <c r="AN25" s="5" t="s">
        <v>94</v>
      </c>
      <c r="AO25" s="24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</row>
    <row r="26" spans="1:54" s="13" customFormat="1" ht="26.4" x14ac:dyDescent="0.25">
      <c r="A26" s="1" t="s">
        <v>38</v>
      </c>
      <c r="B26" s="33"/>
      <c r="C26" s="3" t="s">
        <v>690</v>
      </c>
      <c r="D26" s="4" t="s">
        <v>51</v>
      </c>
      <c r="E26" s="143" t="s">
        <v>2162</v>
      </c>
      <c r="F26" s="14" t="s">
        <v>627</v>
      </c>
      <c r="G26" s="23" t="s">
        <v>628</v>
      </c>
      <c r="H26" s="204" t="s">
        <v>1447</v>
      </c>
      <c r="I26" s="7">
        <v>4000000</v>
      </c>
      <c r="J26" s="15"/>
      <c r="K26" s="9"/>
      <c r="L26" s="7">
        <v>0</v>
      </c>
      <c r="M26" s="7"/>
      <c r="N26" s="10">
        <v>14000000</v>
      </c>
      <c r="O26" s="7">
        <v>3</v>
      </c>
      <c r="P26" s="9"/>
      <c r="Q26" s="9"/>
      <c r="R26" s="7">
        <f>INT((N26*O26/30))*0.85</f>
        <v>1190000</v>
      </c>
      <c r="S26" s="7"/>
      <c r="T26" s="7"/>
      <c r="U26" s="7"/>
      <c r="V26" s="7"/>
      <c r="W26" s="7"/>
      <c r="X26" s="7">
        <f t="shared" si="2"/>
        <v>320000</v>
      </c>
      <c r="Y26" s="7">
        <f>INT((I26+L26)*1.5%)</f>
        <v>60000</v>
      </c>
      <c r="Z26" s="7">
        <f>INT(I26*1%)</f>
        <v>40000</v>
      </c>
      <c r="AA26" s="19">
        <f t="shared" si="10"/>
        <v>40000</v>
      </c>
      <c r="AB26" s="7">
        <v>9000000</v>
      </c>
      <c r="AC26" s="7"/>
      <c r="AD26" s="7">
        <f t="shared" si="3"/>
        <v>0</v>
      </c>
      <c r="AE26" s="7"/>
      <c r="AF26" s="7"/>
      <c r="AG26" s="147" t="s">
        <v>609</v>
      </c>
      <c r="AH26" s="7">
        <f t="shared" si="0"/>
        <v>730000</v>
      </c>
      <c r="AI26" s="7"/>
      <c r="AJ26" s="1" t="s">
        <v>38</v>
      </c>
      <c r="AK26" s="33"/>
      <c r="AL26" s="3" t="s">
        <v>690</v>
      </c>
      <c r="AM26" s="4" t="s">
        <v>51</v>
      </c>
      <c r="AN26" s="143" t="s">
        <v>2162</v>
      </c>
      <c r="AO26" s="24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</row>
    <row r="27" spans="1:54" s="13" customFormat="1" ht="13.2" x14ac:dyDescent="0.25">
      <c r="A27" s="1" t="s">
        <v>40</v>
      </c>
      <c r="B27" s="2"/>
      <c r="C27" s="16" t="s">
        <v>585</v>
      </c>
      <c r="D27" s="22" t="s">
        <v>177</v>
      </c>
      <c r="E27" s="5" t="s">
        <v>80</v>
      </c>
      <c r="F27" s="6" t="s">
        <v>374</v>
      </c>
      <c r="G27" s="6" t="s">
        <v>375</v>
      </c>
      <c r="H27" s="207" t="s">
        <v>870</v>
      </c>
      <c r="I27" s="7">
        <v>4000000</v>
      </c>
      <c r="J27" s="15"/>
      <c r="K27" s="7"/>
      <c r="L27" s="7"/>
      <c r="M27" s="7"/>
      <c r="N27" s="10">
        <v>9000000</v>
      </c>
      <c r="O27" s="7">
        <v>3</v>
      </c>
      <c r="P27" s="7"/>
      <c r="Q27" s="7"/>
      <c r="R27" s="7">
        <f t="shared" si="4"/>
        <v>900000</v>
      </c>
      <c r="S27" s="7"/>
      <c r="T27" s="7"/>
      <c r="U27" s="7"/>
      <c r="V27" s="7"/>
      <c r="W27" s="7"/>
      <c r="X27" s="7">
        <f t="shared" si="2"/>
        <v>320000</v>
      </c>
      <c r="Y27" s="7">
        <f t="shared" ref="Y27:Y32" si="11">INT((I27+L27)*1.5%)</f>
        <v>60000</v>
      </c>
      <c r="Z27" s="7">
        <f t="shared" ref="Z27:Z32" si="12">INT(I27*1%)</f>
        <v>40000</v>
      </c>
      <c r="AA27" s="19">
        <f t="shared" si="10"/>
        <v>40000</v>
      </c>
      <c r="AB27" s="7">
        <v>9000000</v>
      </c>
      <c r="AC27" s="19"/>
      <c r="AD27" s="7">
        <f t="shared" si="3"/>
        <v>0</v>
      </c>
      <c r="AE27" s="7"/>
      <c r="AF27" s="7"/>
      <c r="AG27" s="147" t="s">
        <v>609</v>
      </c>
      <c r="AH27" s="7">
        <f t="shared" si="0"/>
        <v>440000</v>
      </c>
      <c r="AI27" s="7"/>
      <c r="AJ27" s="1" t="s">
        <v>40</v>
      </c>
      <c r="AK27" s="2"/>
      <c r="AL27" s="16" t="s">
        <v>585</v>
      </c>
      <c r="AM27" s="22" t="s">
        <v>177</v>
      </c>
      <c r="AN27" s="5" t="s">
        <v>80</v>
      </c>
      <c r="AO27" s="24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</row>
    <row r="28" spans="1:54" s="13" customFormat="1" ht="13.2" x14ac:dyDescent="0.25">
      <c r="A28" s="1" t="s">
        <v>36</v>
      </c>
      <c r="B28" s="2"/>
      <c r="C28" s="3" t="s">
        <v>2185</v>
      </c>
      <c r="D28" s="4" t="s">
        <v>761</v>
      </c>
      <c r="E28" s="5" t="s">
        <v>80</v>
      </c>
      <c r="F28" s="23" t="s">
        <v>661</v>
      </c>
      <c r="G28" s="14" t="s">
        <v>662</v>
      </c>
      <c r="H28" s="204" t="s">
        <v>1074</v>
      </c>
      <c r="I28" s="7">
        <v>4000000</v>
      </c>
      <c r="J28" s="15"/>
      <c r="K28" s="7"/>
      <c r="L28" s="7"/>
      <c r="M28" s="7"/>
      <c r="N28" s="10">
        <v>9000000</v>
      </c>
      <c r="O28" s="7">
        <v>3</v>
      </c>
      <c r="P28" s="7"/>
      <c r="Q28" s="7"/>
      <c r="R28" s="7">
        <f t="shared" si="4"/>
        <v>900000</v>
      </c>
      <c r="S28" s="7"/>
      <c r="T28" s="7"/>
      <c r="U28" s="7"/>
      <c r="V28" s="7"/>
      <c r="W28" s="7"/>
      <c r="X28" s="7">
        <f t="shared" si="2"/>
        <v>320000</v>
      </c>
      <c r="Y28" s="7">
        <f t="shared" si="11"/>
        <v>60000</v>
      </c>
      <c r="Z28" s="7">
        <f t="shared" si="12"/>
        <v>40000</v>
      </c>
      <c r="AA28" s="19">
        <f t="shared" si="10"/>
        <v>40000</v>
      </c>
      <c r="AB28" s="7">
        <v>9000000</v>
      </c>
      <c r="AC28" s="19"/>
      <c r="AD28" s="7">
        <f t="shared" si="3"/>
        <v>0</v>
      </c>
      <c r="AE28" s="7"/>
      <c r="AF28" s="7"/>
      <c r="AG28" s="147" t="s">
        <v>609</v>
      </c>
      <c r="AH28" s="7">
        <f t="shared" si="0"/>
        <v>440000</v>
      </c>
      <c r="AI28" s="7"/>
      <c r="AJ28" s="1" t="s">
        <v>36</v>
      </c>
      <c r="AK28" s="2"/>
      <c r="AL28" s="3" t="s">
        <v>2185</v>
      </c>
      <c r="AM28" s="4" t="s">
        <v>761</v>
      </c>
      <c r="AN28" s="5" t="s">
        <v>80</v>
      </c>
      <c r="AO28" s="24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</row>
    <row r="29" spans="1:54" s="13" customFormat="1" ht="13.2" x14ac:dyDescent="0.25">
      <c r="A29" s="1" t="s">
        <v>37</v>
      </c>
      <c r="B29" s="2"/>
      <c r="C29" s="3" t="s">
        <v>2186</v>
      </c>
      <c r="D29" s="4" t="s">
        <v>779</v>
      </c>
      <c r="E29" s="5" t="s">
        <v>80</v>
      </c>
      <c r="F29" s="23" t="s">
        <v>332</v>
      </c>
      <c r="G29" s="14" t="s">
        <v>333</v>
      </c>
      <c r="H29" s="208" t="s">
        <v>1089</v>
      </c>
      <c r="I29" s="7">
        <v>4000000</v>
      </c>
      <c r="J29" s="15"/>
      <c r="K29" s="7"/>
      <c r="L29" s="7"/>
      <c r="M29" s="7"/>
      <c r="N29" s="10">
        <v>9000000</v>
      </c>
      <c r="O29" s="7">
        <v>3</v>
      </c>
      <c r="P29" s="7"/>
      <c r="Q29" s="7"/>
      <c r="R29" s="7">
        <f t="shared" si="4"/>
        <v>900000</v>
      </c>
      <c r="S29" s="7"/>
      <c r="T29" s="7"/>
      <c r="U29" s="7"/>
      <c r="V29" s="7"/>
      <c r="W29" s="7"/>
      <c r="X29" s="7">
        <f t="shared" si="2"/>
        <v>320000</v>
      </c>
      <c r="Y29" s="7">
        <f t="shared" si="11"/>
        <v>60000</v>
      </c>
      <c r="Z29" s="7">
        <f t="shared" si="12"/>
        <v>40000</v>
      </c>
      <c r="AA29" s="19">
        <f t="shared" si="10"/>
        <v>40000</v>
      </c>
      <c r="AB29" s="7">
        <v>9000000</v>
      </c>
      <c r="AC29" s="19"/>
      <c r="AD29" s="7">
        <f t="shared" si="3"/>
        <v>0</v>
      </c>
      <c r="AE29" s="7"/>
      <c r="AF29" s="7"/>
      <c r="AG29" s="147" t="s">
        <v>609</v>
      </c>
      <c r="AH29" s="7">
        <f t="shared" si="0"/>
        <v>440000</v>
      </c>
      <c r="AI29" s="7"/>
      <c r="AJ29" s="1" t="s">
        <v>37</v>
      </c>
      <c r="AK29" s="2"/>
      <c r="AL29" s="3" t="s">
        <v>2186</v>
      </c>
      <c r="AM29" s="4" t="s">
        <v>779</v>
      </c>
      <c r="AN29" s="5" t="s">
        <v>80</v>
      </c>
      <c r="AO29" s="24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</row>
    <row r="30" spans="1:54" s="13" customFormat="1" ht="13.2" x14ac:dyDescent="0.25">
      <c r="A30" s="1" t="s">
        <v>43</v>
      </c>
      <c r="B30" s="2"/>
      <c r="C30" s="3" t="s">
        <v>796</v>
      </c>
      <c r="D30" s="4" t="s">
        <v>130</v>
      </c>
      <c r="E30" s="5" t="s">
        <v>80</v>
      </c>
      <c r="F30" s="23"/>
      <c r="G30" s="14"/>
      <c r="H30" s="208" t="s">
        <v>2156</v>
      </c>
      <c r="I30" s="7">
        <v>4000000</v>
      </c>
      <c r="J30" s="15"/>
      <c r="K30" s="7"/>
      <c r="L30" s="7"/>
      <c r="M30" s="7"/>
      <c r="N30" s="10">
        <v>9000000</v>
      </c>
      <c r="O30" s="7">
        <v>3</v>
      </c>
      <c r="P30" s="7"/>
      <c r="Q30" s="7"/>
      <c r="R30" s="7">
        <f t="shared" si="4"/>
        <v>900000</v>
      </c>
      <c r="S30" s="7"/>
      <c r="T30" s="7"/>
      <c r="U30" s="7"/>
      <c r="V30" s="7"/>
      <c r="W30" s="7"/>
      <c r="X30" s="7">
        <f t="shared" si="2"/>
        <v>320000</v>
      </c>
      <c r="Y30" s="7">
        <f t="shared" si="11"/>
        <v>60000</v>
      </c>
      <c r="Z30" s="7">
        <f t="shared" si="12"/>
        <v>40000</v>
      </c>
      <c r="AA30" s="19">
        <f t="shared" si="10"/>
        <v>40000</v>
      </c>
      <c r="AB30" s="7">
        <v>9000000</v>
      </c>
      <c r="AC30" s="19"/>
      <c r="AD30" s="7">
        <f t="shared" si="3"/>
        <v>0</v>
      </c>
      <c r="AE30" s="7"/>
      <c r="AF30" s="7"/>
      <c r="AG30" s="147" t="s">
        <v>609</v>
      </c>
      <c r="AH30" s="7">
        <f t="shared" si="0"/>
        <v>440000</v>
      </c>
      <c r="AI30" s="7"/>
      <c r="AJ30" s="1" t="s">
        <v>43</v>
      </c>
      <c r="AK30" s="2"/>
      <c r="AL30" s="3" t="s">
        <v>796</v>
      </c>
      <c r="AM30" s="4" t="s">
        <v>130</v>
      </c>
      <c r="AN30" s="5" t="s">
        <v>80</v>
      </c>
      <c r="AO30" s="24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</row>
    <row r="31" spans="1:54" s="13" customFormat="1" ht="13.2" x14ac:dyDescent="0.25">
      <c r="A31" s="1" t="s">
        <v>39</v>
      </c>
      <c r="B31" s="2"/>
      <c r="C31" s="3" t="s">
        <v>137</v>
      </c>
      <c r="D31" s="4" t="s">
        <v>152</v>
      </c>
      <c r="E31" s="5" t="s">
        <v>557</v>
      </c>
      <c r="F31" s="23" t="s">
        <v>654</v>
      </c>
      <c r="G31" s="23">
        <v>281219088</v>
      </c>
      <c r="H31" s="204" t="s">
        <v>1143</v>
      </c>
      <c r="I31" s="7">
        <v>4000000</v>
      </c>
      <c r="J31" s="15"/>
      <c r="K31" s="9"/>
      <c r="L31" s="7">
        <v>0</v>
      </c>
      <c r="M31" s="7"/>
      <c r="N31" s="10">
        <v>7000000</v>
      </c>
      <c r="O31" s="7">
        <v>3</v>
      </c>
      <c r="P31" s="7"/>
      <c r="Q31" s="7"/>
      <c r="R31" s="7">
        <f t="shared" si="4"/>
        <v>700000</v>
      </c>
      <c r="S31" s="7"/>
      <c r="T31" s="7"/>
      <c r="U31" s="7"/>
      <c r="V31" s="7"/>
      <c r="W31" s="7"/>
      <c r="X31" s="7">
        <f t="shared" si="2"/>
        <v>320000</v>
      </c>
      <c r="Y31" s="7">
        <f t="shared" si="11"/>
        <v>60000</v>
      </c>
      <c r="Z31" s="7">
        <f t="shared" si="12"/>
        <v>40000</v>
      </c>
      <c r="AA31" s="19">
        <f t="shared" si="10"/>
        <v>40000</v>
      </c>
      <c r="AB31" s="7">
        <v>9000000</v>
      </c>
      <c r="AC31" s="7"/>
      <c r="AD31" s="7">
        <f t="shared" si="3"/>
        <v>0</v>
      </c>
      <c r="AE31" s="7"/>
      <c r="AF31" s="7"/>
      <c r="AG31" s="147" t="s">
        <v>609</v>
      </c>
      <c r="AH31" s="7">
        <f t="shared" si="0"/>
        <v>240000</v>
      </c>
      <c r="AI31" s="7"/>
      <c r="AJ31" s="1" t="s">
        <v>39</v>
      </c>
      <c r="AK31" s="2"/>
      <c r="AL31" s="3" t="s">
        <v>137</v>
      </c>
      <c r="AM31" s="4" t="s">
        <v>152</v>
      </c>
      <c r="AN31" s="5" t="s">
        <v>557</v>
      </c>
      <c r="AO31" s="24"/>
      <c r="AP31" s="24"/>
      <c r="AQ31" s="24"/>
      <c r="AR31" s="24"/>
      <c r="AS31" s="24"/>
      <c r="AT31" s="24"/>
      <c r="AU31" s="24"/>
      <c r="AV31" s="24"/>
      <c r="AW31" s="24"/>
      <c r="AX31" s="12"/>
      <c r="AY31" s="12"/>
      <c r="AZ31" s="12"/>
      <c r="BA31" s="12"/>
    </row>
    <row r="32" spans="1:54" s="13" customFormat="1" ht="13.2" x14ac:dyDescent="0.25">
      <c r="A32" s="1" t="s">
        <v>41</v>
      </c>
      <c r="B32" s="29"/>
      <c r="C32" s="56" t="s">
        <v>158</v>
      </c>
      <c r="D32" s="57" t="s">
        <v>459</v>
      </c>
      <c r="E32" s="172" t="s">
        <v>96</v>
      </c>
      <c r="F32" s="173"/>
      <c r="G32" s="173"/>
      <c r="H32" s="257"/>
      <c r="I32" s="7">
        <v>4000000</v>
      </c>
      <c r="J32" s="325"/>
      <c r="K32" s="30"/>
      <c r="L32" s="34"/>
      <c r="M32" s="7"/>
      <c r="N32" s="31">
        <v>10000000</v>
      </c>
      <c r="O32" s="7">
        <v>3</v>
      </c>
      <c r="P32" s="35"/>
      <c r="Q32" s="35"/>
      <c r="R32" s="7">
        <f t="shared" si="4"/>
        <v>1000000</v>
      </c>
      <c r="S32" s="35"/>
      <c r="T32" s="30"/>
      <c r="U32" s="30"/>
      <c r="V32" s="30"/>
      <c r="W32" s="30"/>
      <c r="X32" s="7">
        <f t="shared" si="2"/>
        <v>320000</v>
      </c>
      <c r="Y32" s="7">
        <f t="shared" si="11"/>
        <v>60000</v>
      </c>
      <c r="Z32" s="7">
        <f t="shared" si="12"/>
        <v>40000</v>
      </c>
      <c r="AA32" s="19">
        <f t="shared" si="10"/>
        <v>40000</v>
      </c>
      <c r="AB32" s="7">
        <v>9000000</v>
      </c>
      <c r="AC32" s="30"/>
      <c r="AD32" s="7">
        <f t="shared" si="3"/>
        <v>0</v>
      </c>
      <c r="AE32" s="30"/>
      <c r="AF32" s="30"/>
      <c r="AG32" s="147" t="s">
        <v>609</v>
      </c>
      <c r="AH32" s="30">
        <f t="shared" si="0"/>
        <v>540000</v>
      </c>
      <c r="AI32" s="7"/>
      <c r="AJ32" s="1" t="s">
        <v>41</v>
      </c>
      <c r="AK32" s="29"/>
      <c r="AL32" s="56" t="s">
        <v>158</v>
      </c>
      <c r="AM32" s="57" t="s">
        <v>459</v>
      </c>
      <c r="AN32" s="172" t="s">
        <v>96</v>
      </c>
      <c r="AO32" s="24"/>
      <c r="AZ32" s="12"/>
      <c r="BA32" s="12"/>
    </row>
    <row r="33" spans="1:54" s="94" customFormat="1" ht="13.8" x14ac:dyDescent="0.25">
      <c r="A33" s="43">
        <v>24</v>
      </c>
      <c r="B33" s="43"/>
      <c r="C33" s="307" t="s">
        <v>87</v>
      </c>
      <c r="D33" s="308"/>
      <c r="E33" s="62"/>
      <c r="F33" s="40"/>
      <c r="G33" s="40"/>
      <c r="H33" s="219"/>
      <c r="I33" s="63">
        <f>SUM(I9:I32)</f>
        <v>111063000</v>
      </c>
      <c r="J33" s="63"/>
      <c r="K33" s="63"/>
      <c r="L33" s="63">
        <f>SUM(L9:L32)</f>
        <v>6000000</v>
      </c>
      <c r="M33" s="63">
        <f>SUM(M9:M32)</f>
        <v>0</v>
      </c>
      <c r="N33" s="64">
        <f>SUM(N9:N32)</f>
        <v>389000000</v>
      </c>
      <c r="O33" s="63">
        <f>SUM(O9:O32)</f>
        <v>72</v>
      </c>
      <c r="P33" s="63">
        <f>SUM(P9:P32)</f>
        <v>0</v>
      </c>
      <c r="Q33" s="63"/>
      <c r="R33" s="63">
        <f>SUM(R9:R32)</f>
        <v>36875000</v>
      </c>
      <c r="S33" s="63"/>
      <c r="T33" s="63"/>
      <c r="U33" s="63"/>
      <c r="V33" s="63"/>
      <c r="W33" s="63"/>
      <c r="X33" s="63">
        <f>SUM(X9:X32)</f>
        <v>9365040</v>
      </c>
      <c r="Y33" s="63">
        <f>SUM(Y9:Y32)</f>
        <v>1755943</v>
      </c>
      <c r="Z33" s="63">
        <f>SUM(Z9:Z32)</f>
        <v>1110630</v>
      </c>
      <c r="AA33" s="63">
        <f>SUM(AA9:AA32)</f>
        <v>1170630</v>
      </c>
      <c r="AB33" s="63"/>
      <c r="AC33" s="63">
        <f t="shared" ref="AC33:AI33" si="13">SUM(AC9:AC32)</f>
        <v>13</v>
      </c>
      <c r="AD33" s="63">
        <f t="shared" si="13"/>
        <v>46800000</v>
      </c>
      <c r="AE33" s="63">
        <f t="shared" si="13"/>
        <v>0</v>
      </c>
      <c r="AF33" s="63">
        <f t="shared" si="13"/>
        <v>0</v>
      </c>
      <c r="AG33" s="63">
        <f t="shared" si="13"/>
        <v>0</v>
      </c>
      <c r="AH33" s="63">
        <f t="shared" si="13"/>
        <v>23472757</v>
      </c>
      <c r="AI33" s="63">
        <f t="shared" si="13"/>
        <v>0</v>
      </c>
      <c r="AJ33" s="43">
        <v>24</v>
      </c>
      <c r="AK33" s="43"/>
      <c r="AL33" s="307" t="s">
        <v>87</v>
      </c>
      <c r="AM33" s="308"/>
      <c r="AN33" s="6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95"/>
    </row>
    <row r="34" spans="1:54" ht="6" customHeight="1" x14ac:dyDescent="0.3">
      <c r="A34" s="41"/>
      <c r="B34" s="41"/>
      <c r="C34" s="42"/>
      <c r="D34" s="141"/>
      <c r="E34" s="141"/>
      <c r="F34" s="113"/>
      <c r="G34" s="113"/>
      <c r="H34" s="220"/>
      <c r="I34" s="65"/>
      <c r="J34" s="65"/>
      <c r="K34" s="65"/>
      <c r="L34" s="65"/>
      <c r="M34" s="65"/>
      <c r="N34" s="114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115"/>
      <c r="AI34" s="65"/>
      <c r="AJ34" s="42"/>
      <c r="AK34" s="42"/>
      <c r="AL34" s="42"/>
      <c r="AM34" s="42"/>
      <c r="AN34" s="42"/>
    </row>
    <row r="35" spans="1:54" ht="14.4" x14ac:dyDescent="0.3">
      <c r="A35" s="122"/>
      <c r="B35" s="116"/>
      <c r="C35" s="116"/>
      <c r="D35" s="116"/>
      <c r="E35" s="116"/>
      <c r="F35" s="117"/>
      <c r="G35" s="117"/>
      <c r="H35" s="238"/>
      <c r="I35" s="65"/>
      <c r="J35" s="65"/>
      <c r="K35" s="65"/>
      <c r="L35" s="65"/>
      <c r="M35" s="65"/>
      <c r="N35" s="114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AG35" s="407" t="s">
        <v>2168</v>
      </c>
      <c r="AH35" s="407"/>
      <c r="AI35" s="407"/>
      <c r="AJ35" s="65"/>
      <c r="AK35" s="65"/>
      <c r="AL35" s="65"/>
      <c r="AM35" s="65"/>
      <c r="AN35" s="65"/>
      <c r="AO35" s="65"/>
    </row>
    <row r="36" spans="1:54" ht="13.2" x14ac:dyDescent="0.25">
      <c r="C36" s="352" t="s">
        <v>100</v>
      </c>
      <c r="D36" s="352"/>
      <c r="E36" s="70"/>
      <c r="F36" s="324"/>
      <c r="G36" s="324"/>
      <c r="H36" s="221"/>
      <c r="I36" s="352" t="s">
        <v>462</v>
      </c>
      <c r="J36" s="352"/>
      <c r="K36" s="352"/>
      <c r="L36" s="352"/>
      <c r="M36" s="352"/>
      <c r="N36" s="352"/>
      <c r="O36" s="352"/>
      <c r="P36" s="352"/>
      <c r="Q36" s="352"/>
      <c r="R36" s="352"/>
      <c r="S36" s="306"/>
      <c r="T36" s="306"/>
      <c r="U36" s="306"/>
      <c r="V36" s="306"/>
      <c r="W36" s="306"/>
      <c r="X36" s="408" t="s">
        <v>115</v>
      </c>
      <c r="Y36" s="408"/>
      <c r="Z36" s="408"/>
      <c r="AA36" s="71"/>
      <c r="AB36" s="71"/>
      <c r="AC36" s="71"/>
      <c r="AD36" s="71"/>
      <c r="AE36" s="71"/>
      <c r="AF36" s="71"/>
      <c r="AG36" s="409" t="s">
        <v>188</v>
      </c>
      <c r="AH36" s="409"/>
      <c r="AI36" s="409"/>
      <c r="AJ36" s="310"/>
      <c r="AK36" s="310"/>
      <c r="AN36" s="37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</row>
    <row r="37" spans="1:54" ht="13.2" x14ac:dyDescent="0.25">
      <c r="F37" s="45"/>
      <c r="G37" s="45"/>
      <c r="N37" s="72"/>
      <c r="O37" s="73"/>
      <c r="P37" s="73"/>
      <c r="Q37" s="73"/>
      <c r="AF37" s="47"/>
      <c r="AG37" s="47"/>
      <c r="AH37" s="74"/>
      <c r="AJ37" s="310"/>
      <c r="AK37" s="310"/>
      <c r="AN37" s="37"/>
    </row>
    <row r="38" spans="1:54" ht="13.2" x14ac:dyDescent="0.25">
      <c r="F38" s="45"/>
      <c r="G38" s="45"/>
      <c r="N38" s="72"/>
      <c r="O38" s="73"/>
      <c r="P38" s="73"/>
      <c r="Q38" s="73"/>
      <c r="AF38" s="47"/>
      <c r="AG38" s="47"/>
      <c r="AH38" s="74"/>
      <c r="AJ38" s="310"/>
      <c r="AK38" s="310"/>
      <c r="AN38" s="37"/>
    </row>
    <row r="39" spans="1:54" ht="13.2" x14ac:dyDescent="0.25">
      <c r="F39" s="45"/>
      <c r="G39" s="45"/>
      <c r="N39" s="72"/>
      <c r="O39" s="73"/>
      <c r="P39" s="73"/>
      <c r="Q39" s="73"/>
      <c r="AF39" s="47"/>
      <c r="AG39" s="47"/>
      <c r="AH39" s="74"/>
      <c r="AJ39" s="310"/>
      <c r="AK39" s="310"/>
      <c r="AN39" s="37"/>
    </row>
    <row r="40" spans="1:54" ht="13.2" x14ac:dyDescent="0.25">
      <c r="F40" s="45"/>
      <c r="G40" s="45"/>
      <c r="N40" s="72"/>
      <c r="O40" s="73"/>
      <c r="P40" s="73"/>
      <c r="Q40" s="73"/>
      <c r="AE40" s="74"/>
      <c r="AF40" s="47"/>
      <c r="AG40" s="47"/>
      <c r="AJ40" s="310"/>
      <c r="AK40" s="310"/>
      <c r="AN40" s="37"/>
    </row>
    <row r="41" spans="1:54" ht="13.8" x14ac:dyDescent="0.25">
      <c r="C41" s="402" t="s">
        <v>99</v>
      </c>
      <c r="D41" s="402"/>
      <c r="F41" s="45"/>
      <c r="G41" s="45"/>
      <c r="I41" s="402" t="s">
        <v>501</v>
      </c>
      <c r="J41" s="402"/>
      <c r="K41" s="402"/>
      <c r="L41" s="402"/>
      <c r="M41" s="402"/>
      <c r="N41" s="402"/>
      <c r="O41" s="402"/>
      <c r="P41" s="402"/>
      <c r="Q41" s="402"/>
      <c r="R41" s="402"/>
      <c r="S41" s="305"/>
      <c r="AF41" s="47"/>
      <c r="AG41" s="47"/>
      <c r="AJ41" s="310"/>
      <c r="AK41" s="310"/>
      <c r="AN41" s="37"/>
    </row>
    <row r="42" spans="1:54" ht="13.2" x14ac:dyDescent="0.25">
      <c r="F42" s="45"/>
      <c r="G42" s="45"/>
      <c r="I42" s="74"/>
      <c r="AF42" s="47"/>
      <c r="AG42" s="47"/>
      <c r="AJ42" s="310"/>
      <c r="AK42" s="310"/>
      <c r="AN42" s="37"/>
    </row>
    <row r="43" spans="1:54" ht="14.4" x14ac:dyDescent="0.25">
      <c r="A43" s="99"/>
      <c r="B43" s="99"/>
      <c r="C43" s="99"/>
      <c r="D43" s="99"/>
      <c r="E43" s="321"/>
      <c r="F43" s="101"/>
      <c r="G43" s="101"/>
      <c r="H43" s="249"/>
      <c r="I43" s="321"/>
      <c r="J43" s="321"/>
      <c r="K43" s="321"/>
      <c r="L43" s="321"/>
      <c r="M43" s="321"/>
      <c r="N43" s="102"/>
      <c r="O43" s="321"/>
      <c r="P43" s="321"/>
      <c r="Q43" s="321"/>
      <c r="R43" s="118"/>
      <c r="S43" s="118"/>
      <c r="T43" s="118"/>
      <c r="U43" s="118"/>
      <c r="V43" s="118"/>
      <c r="W43" s="118"/>
      <c r="X43" s="118"/>
      <c r="Y43" s="119"/>
      <c r="Z43" s="321"/>
      <c r="AA43" s="321"/>
      <c r="AB43" s="321"/>
      <c r="AC43" s="321"/>
      <c r="AD43" s="321"/>
      <c r="AE43" s="321"/>
      <c r="AF43" s="321"/>
      <c r="AG43" s="321"/>
      <c r="AH43" s="99"/>
      <c r="AI43" s="99"/>
    </row>
    <row r="44" spans="1:54" ht="13.8" x14ac:dyDescent="0.25">
      <c r="A44" s="99"/>
      <c r="B44" s="99"/>
      <c r="C44" s="99"/>
      <c r="D44" s="99"/>
      <c r="E44" s="99"/>
      <c r="I44" s="99"/>
      <c r="J44" s="99"/>
      <c r="K44" s="99"/>
      <c r="L44" s="99"/>
      <c r="M44" s="99"/>
      <c r="N44" s="100"/>
      <c r="O44" s="99"/>
      <c r="P44" s="99"/>
      <c r="Q44" s="99"/>
      <c r="R44" s="118"/>
      <c r="S44" s="118"/>
      <c r="T44" s="118"/>
      <c r="U44" s="118"/>
      <c r="V44" s="118"/>
      <c r="W44" s="118"/>
      <c r="X44" s="118"/>
      <c r="Y44" s="121"/>
      <c r="Z44" s="99"/>
      <c r="AA44" s="99"/>
      <c r="AB44" s="99"/>
      <c r="AC44" s="99"/>
      <c r="AD44" s="99"/>
      <c r="AE44" s="99"/>
      <c r="AF44" s="99"/>
      <c r="AG44" s="99"/>
      <c r="AH44" s="99"/>
      <c r="AI44" s="99"/>
    </row>
    <row r="45" spans="1:54" ht="13.2" x14ac:dyDescent="0.25">
      <c r="R45" s="118"/>
      <c r="S45" s="118"/>
      <c r="T45" s="118"/>
      <c r="U45" s="118"/>
      <c r="V45" s="118"/>
      <c r="W45" s="118"/>
      <c r="X45" s="118"/>
      <c r="Y45" s="121"/>
    </row>
    <row r="46" spans="1:54" ht="13.2" x14ac:dyDescent="0.25">
      <c r="R46" s="118"/>
      <c r="S46" s="118"/>
      <c r="T46" s="118"/>
      <c r="U46" s="118"/>
      <c r="V46" s="118"/>
      <c r="W46" s="118"/>
      <c r="X46" s="118"/>
      <c r="Y46" s="121"/>
    </row>
    <row r="47" spans="1:54" ht="13.2" x14ac:dyDescent="0.25">
      <c r="R47" s="121"/>
      <c r="S47" s="121"/>
      <c r="T47" s="121"/>
      <c r="U47" s="121"/>
      <c r="V47" s="121"/>
      <c r="W47" s="121"/>
      <c r="X47" s="121"/>
      <c r="Y47" s="121"/>
    </row>
    <row r="48" spans="1:54" ht="13.2" x14ac:dyDescent="0.25">
      <c r="R48" s="121"/>
      <c r="S48" s="121"/>
      <c r="T48" s="121"/>
      <c r="U48" s="121"/>
      <c r="V48" s="121"/>
      <c r="W48" s="121"/>
      <c r="X48" s="121"/>
      <c r="Y48" s="121"/>
    </row>
    <row r="49" spans="18:25" ht="13.2" x14ac:dyDescent="0.25">
      <c r="R49" s="121"/>
      <c r="S49" s="121"/>
      <c r="T49" s="121"/>
      <c r="U49" s="121"/>
      <c r="V49" s="121"/>
      <c r="W49" s="121"/>
      <c r="X49" s="121"/>
      <c r="Y49" s="121"/>
    </row>
    <row r="50" spans="18:25" ht="13.2" x14ac:dyDescent="0.25">
      <c r="R50" s="121"/>
      <c r="S50" s="121"/>
      <c r="T50" s="121"/>
      <c r="U50" s="121"/>
      <c r="V50" s="121"/>
      <c r="W50" s="121"/>
      <c r="X50" s="121"/>
      <c r="Y50" s="121"/>
    </row>
    <row r="51" spans="18:25" ht="13.2" x14ac:dyDescent="0.25">
      <c r="R51" s="121"/>
      <c r="S51" s="121"/>
      <c r="T51" s="121"/>
      <c r="U51" s="121"/>
      <c r="V51" s="121"/>
      <c r="W51" s="121"/>
      <c r="X51" s="121"/>
      <c r="Y51" s="121"/>
    </row>
  </sheetData>
  <mergeCells count="34">
    <mergeCell ref="A1:I1"/>
    <mergeCell ref="A2:AI2"/>
    <mergeCell ref="A4:AI4"/>
    <mergeCell ref="A6:A8"/>
    <mergeCell ref="C6:D8"/>
    <mergeCell ref="E6:E8"/>
    <mergeCell ref="I6:I8"/>
    <mergeCell ref="L6:L8"/>
    <mergeCell ref="M6:M8"/>
    <mergeCell ref="AL6:AM8"/>
    <mergeCell ref="AN6:AN8"/>
    <mergeCell ref="AO6:BA6"/>
    <mergeCell ref="X7:X8"/>
    <mergeCell ref="Y7:Y8"/>
    <mergeCell ref="Z7:Z8"/>
    <mergeCell ref="AA7:AA8"/>
    <mergeCell ref="AF7:AF8"/>
    <mergeCell ref="AG7:AG8"/>
    <mergeCell ref="AO8:BA8"/>
    <mergeCell ref="AH6:AH8"/>
    <mergeCell ref="AI6:AI8"/>
    <mergeCell ref="AJ6:AJ8"/>
    <mergeCell ref="C41:D41"/>
    <mergeCell ref="I41:R41"/>
    <mergeCell ref="A3:AI3"/>
    <mergeCell ref="X6:AG6"/>
    <mergeCell ref="N6:N8"/>
    <mergeCell ref="AG35:AI35"/>
    <mergeCell ref="C36:D36"/>
    <mergeCell ref="I36:R36"/>
    <mergeCell ref="X36:Z36"/>
    <mergeCell ref="AG36:AI36"/>
    <mergeCell ref="O6:P8"/>
    <mergeCell ref="R6:R8"/>
  </mergeCells>
  <printOptions horizontalCentered="1"/>
  <pageMargins left="0" right="0" top="0.19685039370078741" bottom="0" header="0.31496062992125984" footer="0.31496062992125984"/>
  <pageSetup paperSize="9" scale="9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LuongVanPhong</vt:lpstr>
      <vt:lpstr>vcb</vt:lpstr>
      <vt:lpstr>Sheet1</vt:lpstr>
      <vt:lpstr>AFT</vt:lpstr>
      <vt:lpstr>ABL</vt:lpstr>
      <vt:lpstr>LuongVanPhong!Print_Titles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2017-07-31T01:35:03Z</cp:lastPrinted>
  <dcterms:created xsi:type="dcterms:W3CDTF">2006-10-27T08:01:54Z</dcterms:created>
  <dcterms:modified xsi:type="dcterms:W3CDTF">2018-03-19T08:05:31Z</dcterms:modified>
</cp:coreProperties>
</file>